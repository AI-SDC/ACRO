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Default Extension="png" ContentType="image/png"/>
  <Override ContentType="application/vnd.openxmlformats-officedocument.drawing+xml" PartName="/xl/drawings/drawing2.xml"/>
  <Override ContentType="application/vnd.openxmlformats-officedocument.spreadsheetml.worksheet+xml" PartName="/xl/worksheets/sheet21.xml"/>
  <Override ContentType="application/vnd.openxmlformats-officedocument.drawing+xml" PartName="/xl/drawings/drawing3.xml"/>
</Types>
</file>

<file path=_rels/.rels><?xml version="1.0" encoding="UTF-8"?><Relationships xmlns="http://schemas.openxmlformats.org/package/2006/relationships"><Relationship Target="docProps/core.xml" Type="http://schemas.openxmlformats.org/package/2006/relationships/metadata/core-properties" Id="rId3"/><Relationship Target="docProps/thumbnail.wmf" Type="http://schemas.openxmlformats.org/package/2006/relationships/metadata/thumbnail" Id="rId2"/><Relationship Target="xl/workbook.xml" Type="http://schemas.openxmlformats.org/officeDocument/2006/relationships/officeDocument" Id="rId1"/><Relationship Target="docProps/custom.xml" Type="http://schemas.openxmlformats.org/officeDocument/2006/relationships/custom-properties" Id="rId5"/><Relationship Target="docProps/app.xml" Type="http://schemas.openxmlformats.org/officeDocument/2006/relationships/extended-properties" Id="rId4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6" lowestEdited="6" rupBuild="14420" codeName="{51196F13-6AD0-C1B8-E2B4-A1F9AE17003E}"/>
  <workbookPr codeName="ThisWorkbook" defaultThemeVersion="164011"/>
  <bookViews>
    <workbookView xWindow="0" yWindow="0" windowWidth="28800" windowHeight="11400"/>
  </bookViews>
  <sheets>
    <sheet name="description" sheetId="1" r:id="rId1"/>
    <sheet name="activity" sheetId="2" r:id="rId9"/>
    <sheet name="max_act" sheetId="3" r:id="rId10"/>
    <sheet name="small_act" sheetId="4" r:id="rId11"/>
    <sheet name="output_1" sheetId="5" r:id="rId12"/>
    <sheet name="output_2" sheetId="6" r:id="rId13"/>
    <sheet name="output_3" sheetId="7" r:id="rId14"/>
    <sheet name="output_4" sheetId="8" r:id="rId15"/>
    <sheet name="output_5" sheetId="9" r:id="rId16"/>
    <sheet name="output_6" sheetId="10" r:id="rId17"/>
    <sheet name="output_7" sheetId="11" r:id="rId18"/>
    <sheet name="output_8_A" sheetId="12" r:id="rId19"/>
    <sheet name="output_8_B" sheetId="13" r:id="rId20"/>
    <sheet name="output_8_C" sheetId="14" r:id="rId21"/>
    <sheet name="output_8_D" sheetId="15" r:id="rId22"/>
    <sheet name="output_9_A" sheetId="16" r:id="rId23"/>
    <sheet name="output_9_B" sheetId="17" r:id="rId24"/>
    <sheet name="output_9_C" sheetId="18" r:id="rId25"/>
    <sheet name="output_9_D" sheetId="19" r:id="rId26"/>
    <sheet name="graph_test" sheetId="20" r:id="rId27"/>
    <sheet name="by_graph_test" sheetId="21" r:id="rId28"/>
  </sheets>
  <calcPr calcId="162913" fullCalcOnLoad="true"/>
</workbook>
</file>

<file path=xl/sharedStrings.xml><?xml version="1.0" encoding="utf-8"?>
<sst xmlns="http://schemas.openxmlformats.org/spreadsheetml/2006/main" count="987" uniqueCount="323">
  <si>
    <t>Sheet</t>
  </si>
  <si>
    <t>Description safe/unsafe</t>
  </si>
  <si>
    <t>Reason for automatic decision</t>
  </si>
  <si>
    <t>Exception request</t>
  </si>
  <si>
    <t>Automatic check</t>
  </si>
  <si>
    <t>Final decision</t>
  </si>
  <si>
    <t>Additional  notes</t>
  </si>
  <si>
    <t xml:space="preserve">table year survivor if year&gt;2013  , contents(freq mean inc_activity sd inc_activity)  </t>
  </si>
  <si>
    <t>Passed (no identified issues)</t>
  </si>
  <si>
    <t/>
  </si>
  <si>
    <t>year</t>
  </si>
  <si>
    <t>survivor</t>
  </si>
  <si>
    <t>Dead in 2015</t>
  </si>
  <si>
    <t>Alive in 2015</t>
  </si>
  <si>
    <t>frequency</t>
  </si>
  <si>
    <t>freq_3_inc_activity</t>
  </si>
  <si>
    <t>sd_inc_activity</t>
  </si>
  <si>
    <t>freq_2_inc_activity</t>
  </si>
  <si>
    <t>mean_inc_activity</t>
  </si>
  <si>
    <t>problems</t>
  </si>
  <si>
    <t>ACRO validated output</t>
  </si>
  <si>
    <t>----------------------------------------</t>
  </si>
  <si>
    <t xml:space="preserve">          |           survivor          </t>
  </si>
  <si>
    <t xml:space="preserve">     year |  Dead in 2015  Alive in 2015</t>
  </si>
  <si>
    <t>----------+-----------------------------</t>
  </si>
  <si>
    <t xml:space="preserve">     2014 |            50            103</t>
  </si>
  <si>
    <t xml:space="preserve">          |      672290.8       1.67e+07</t>
  </si>
  <si>
    <t xml:space="preserve">          |       1701519       5.19e+07</t>
  </si>
  <si>
    <t xml:space="preserve">          | </t>
  </si>
  <si>
    <t xml:space="preserve">     2015 |            50            103</t>
  </si>
  <si>
    <t xml:space="preserve">          |      485240.2       1.66e+07</t>
  </si>
  <si>
    <t xml:space="preserve">          |       1515565       5.51e+07</t>
  </si>
  <si>
    <t xml:space="preserve">table year survivor if year&gt;2013  , contents(freq mean inc_activity max inc_activity)  </t>
  </si>
  <si>
    <t>Passed (failed elements suppressed)</t>
  </si>
  <si>
    <t>max_inc_activity</t>
  </si>
  <si>
    <t xml:space="preserve">max/min not allowed; </t>
  </si>
  <si>
    <t xml:space="preserve">By grant_type: table year survivor if year&gt;2013  , contents(freq mean inc_activity max inc_activity)   </t>
  </si>
  <si>
    <t>Failed; exception requested: It's not feaible to identify the charities from this information</t>
  </si>
  <si>
    <t>grant_type</t>
  </si>
  <si>
    <t>R/G</t>
  </si>
  <si>
    <t>R</t>
  </si>
  <si>
    <t>N</t>
  </si>
  <si>
    <t>G</t>
  </si>
  <si>
    <t xml:space="preserve">below threshold; max/min not allowed; 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</si>
  <si>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</si>
  <si>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-&gt; grant_type = G</t>
  </si>
  <si>
    <t xml:space="preserve">     2014 |             3             12</t>
  </si>
  <si>
    <t xml:space="preserve">          |      60063.33       4.16e+07</t>
  </si>
  <si>
    <t xml:space="preserve">          |        137000       1.69e+08</t>
  </si>
  <si>
    <t xml:space="preserve">     2015 |             3             12</t>
  </si>
  <si>
    <t xml:space="preserve">          |         51454       5.25e+07</t>
  </si>
  <si>
    <t xml:space="preserve">          |        115000       1.70e+08</t>
  </si>
  <si>
    <t>-&gt; grant_type = N</t>
  </si>
  <si>
    <t>-------------------------</t>
  </si>
  <si>
    <t xml:space="preserve">          |   survivor   </t>
  </si>
  <si>
    <t xml:space="preserve">     year | Alive in 2015</t>
  </si>
  <si>
    <t>----------+--------------</t>
  </si>
  <si>
    <t xml:space="preserve">     2014 |            59</t>
  </si>
  <si>
    <t xml:space="preserve">          |       1262486</t>
  </si>
  <si>
    <t xml:space="preserve">          |      3.72e+07</t>
  </si>
  <si>
    <t xml:space="preserve">     2015 |            59</t>
  </si>
  <si>
    <t xml:space="preserve">          |      968195.8</t>
  </si>
  <si>
    <t xml:space="preserve">          |      3.55e+07</t>
  </si>
  <si>
    <t>-&gt; grant_type = R</t>
  </si>
  <si>
    <t xml:space="preserve">     2014 |            47             24</t>
  </si>
  <si>
    <t xml:space="preserve">          |      715004.3       4.31e+07</t>
  </si>
  <si>
    <t xml:space="preserve">          |       7366028       3.93e+08</t>
  </si>
  <si>
    <t xml:space="preserve">     2015 |            47             24</t>
  </si>
  <si>
    <t xml:space="preserve">          |      531717.3       4.32e+07</t>
  </si>
  <si>
    <t xml:space="preserve">          |       7199403       4.21e+08</t>
  </si>
  <si>
    <t>-&gt; grant_type = R/G</t>
  </si>
  <si>
    <t xml:space="preserve">     2014 |             8</t>
  </si>
  <si>
    <t xml:space="preserve">          |      1.33e+07</t>
  </si>
  <si>
    <t xml:space="preserve">          |      4.93e+07</t>
  </si>
  <si>
    <t xml:space="preserve">     2015 |             8</t>
  </si>
  <si>
    <t xml:space="preserve">          |      1.32e+07</t>
  </si>
  <si>
    <t xml:space="preserve">          |      5.46e+07</t>
  </si>
  <si>
    <t xml:space="preserve">table year survivor   ,  </t>
  </si>
  <si>
    <t>+--------------------+</t>
  </si>
  <si>
    <t>| Key                |</t>
  </si>
  <si>
    <t>|--------------------|</t>
  </si>
  <si>
    <t>|     frequency      |</t>
  </si>
  <si>
    <t>| expected frequency |</t>
  </si>
  <si>
    <t xml:space="preserve">           |       survivor</t>
  </si>
  <si>
    <t xml:space="preserve">      year | Dead in 2  Alive in  |     Total</t>
  </si>
  <si>
    <t>-----------+----------------------+----------</t>
  </si>
  <si>
    <t xml:space="preserve">      2010 |        50        103 |       153 </t>
  </si>
  <si>
    <t xml:space="preserve">           |      50.0      103.0 |     153.0 </t>
  </si>
  <si>
    <t xml:space="preserve">      2011 |        50        103 |       153 </t>
  </si>
  <si>
    <t xml:space="preserve">      2012 |        50        103 |       153 </t>
  </si>
  <si>
    <t xml:space="preserve">      2013 |        50        103 |       153 </t>
  </si>
  <si>
    <t xml:space="preserve">      2014 |        50        103 |       153 </t>
  </si>
  <si>
    <t xml:space="preserve">      2015 |        50        103 |       153 </t>
  </si>
  <si>
    <t xml:space="preserve">     Total |       300        618 |       918 </t>
  </si>
  <si>
    <t xml:space="preserve">           |     300.0      618.0 |     918.0 </t>
  </si>
  <si>
    <t xml:space="preserve">          Pearson chi2(5) =   0.0000   Pr = 1.000</t>
  </si>
  <si>
    <t xml:space="preserve">By grant_type: table year survivor   ,  </t>
  </si>
  <si>
    <t xml:space="preserve">below threshold; </t>
  </si>
  <si>
    <t xml:space="preserve">table year survivor   , by(grant_type)  </t>
  </si>
  <si>
    <t>Failed; no exception or suppression requested</t>
  </si>
  <si>
    <t>*** no output cleared ***</t>
  </si>
  <si>
    <t xml:space="preserve">table year survivor   , by(grant_type)   </t>
  </si>
  <si>
    <t>Failed; exception requested: trust me, I'm a professor</t>
  </si>
  <si>
    <t>grant_typ |</t>
  </si>
  <si>
    <t xml:space="preserve">e and     |           survivor          </t>
  </si>
  <si>
    <t>year      |  Dead in 2015  Alive in 2015</t>
  </si>
  <si>
    <t>G         |</t>
  </si>
  <si>
    <t xml:space="preserve">     2010 |             3             12</t>
  </si>
  <si>
    <t xml:space="preserve">     2011 |             3             12</t>
  </si>
  <si>
    <t xml:space="preserve">     2012 |             3             12</t>
  </si>
  <si>
    <t xml:space="preserve">     2013 |             3             12</t>
  </si>
  <si>
    <t>N         |</t>
  </si>
  <si>
    <t xml:space="preserve">     2010 |                           59</t>
  </si>
  <si>
    <t xml:space="preserve">     2011 |                           59</t>
  </si>
  <si>
    <t xml:space="preserve">     2012 |                           59</t>
  </si>
  <si>
    <t xml:space="preserve">     2013 |                           59</t>
  </si>
  <si>
    <t xml:space="preserve">     2014 |                           59</t>
  </si>
  <si>
    <t xml:space="preserve">     2015 |                           59</t>
  </si>
  <si>
    <t>R         |</t>
  </si>
  <si>
    <t xml:space="preserve">     2010 |            47             24</t>
  </si>
  <si>
    <t xml:space="preserve">     2011 |            47             24</t>
  </si>
  <si>
    <t xml:space="preserve">     2012 |            47             24</t>
  </si>
  <si>
    <t xml:space="preserve">     2013 |            47             24</t>
  </si>
  <si>
    <t>R/G       |</t>
  </si>
  <si>
    <t xml:space="preserve">     2010 |                            8</t>
  </si>
  <si>
    <t xml:space="preserve">     2011 |                            8</t>
  </si>
  <si>
    <t xml:space="preserve">     2012 |                            8</t>
  </si>
  <si>
    <t xml:space="preserve">     2013 |                            8</t>
  </si>
  <si>
    <t xml:space="preserve">     2014 |                            8</t>
  </si>
  <si>
    <t xml:space="preserve">     2015 |                            8</t>
  </si>
  <si>
    <t>regress inc_activity inc_grants inc_donations total_costs</t>
  </si>
  <si>
    <t xml:space="preserve">      Source |       SS           df       MS      Number of obs   =       811</t>
  </si>
  <si>
    <t>-------------+----------------------------------   F(3, 807)       =   2276.25</t>
  </si>
  <si>
    <t xml:space="preserve">       Model |  1.3357e+18         3  4.4524e+17   Prob &gt; F        =    0.0000</t>
  </si>
  <si>
    <t xml:space="preserve">    Residual |  1.5785e+17       807  1.9560e+14   R-squared       =    0.8943</t>
  </si>
  <si>
    <t>-------------+----------------------------------   Adj R-squared   =    0.8939</t>
  </si>
  <si>
    <t xml:space="preserve">       Total |  1.4936e+18       810  1.8439e+15   Root MSE        =    1.4e+07</t>
  </si>
  <si>
    <t>-------------------------------------------------------------------------------</t>
  </si>
  <si>
    <t xml:space="preserve"> inc_activity |      Coef.   Std. Err.      t    P&gt;|t|     [95% Conf. Interval]</t>
  </si>
  <si>
    <t>--------------+----------------------------------------------------------------</t>
  </si>
  <si>
    <t xml:space="preserve">   inc_grants |  -.8855681   .0245118   -36.13   0.000    -.9336825   -.8374536</t>
  </si>
  <si>
    <t>inc_donations |  -.6658834   .0162787   -40.91   0.000    -.6978369   -.6339299</t>
  </si>
  <si>
    <t xml:space="preserve">  total_costs |   .8318309    .010538    78.94   0.000     .8111458    .8525159</t>
  </si>
  <si>
    <t xml:space="preserve">        _cons |   399436.3   531251.9     0.75   0.452    -643362.2     1442235</t>
  </si>
  <si>
    <t>b</t>
  </si>
  <si>
    <t>se</t>
  </si>
  <si>
    <t>t</t>
  </si>
  <si>
    <t>pvalue</t>
  </si>
  <si>
    <t>ll</t>
  </si>
  <si>
    <t>ul</t>
  </si>
  <si>
    <t>df</t>
  </si>
  <si>
    <t>crit</t>
  </si>
  <si>
    <t>eform</t>
  </si>
  <si>
    <t>inc_grants</t>
  </si>
  <si>
    <t>inc_donations</t>
  </si>
  <si>
    <t>total_costs</t>
  </si>
  <si>
    <t>_cons</t>
  </si>
  <si>
    <t>probit survivor inc_activity inc_grants inc_donations total_costs</t>
  </si>
  <si>
    <t xml:space="preserve">Iteration 0:   log likelihood = -509.50051  </t>
  </si>
  <si>
    <t xml:space="preserve">Iteration 1:   log likelihood = -451.16345  </t>
  </si>
  <si>
    <t xml:space="preserve">Iteration 2:   log likelihood = -428.05889  </t>
  </si>
  <si>
    <t xml:space="preserve">Iteration 3:   log likelihood = -409.37624  </t>
  </si>
  <si>
    <t xml:space="preserve">Iteration 4:   log likelihood = -403.51851  </t>
  </si>
  <si>
    <t xml:space="preserve">Iteration 5:   log likelihood = -403.24397  </t>
  </si>
  <si>
    <t xml:space="preserve">Iteration 6:   log likelihood = -403.24344  </t>
  </si>
  <si>
    <t xml:space="preserve">Iteration 7:   log likelihood = -403.24344  </t>
  </si>
  <si>
    <t>Probit regression                               Number of obs     =        811</t>
  </si>
  <si>
    <t xml:space="preserve">                                                LR chi2(4)        =     212.51</t>
  </si>
  <si>
    <t xml:space="preserve">                                                Prob &gt; chi2       =     0.0000</t>
  </si>
  <si>
    <t>Log likelihood = -403.24344                     Pseudo R2         =     0.2086</t>
  </si>
  <si>
    <t xml:space="preserve">     survivor |      Coef.   Std. Err.      z    P&gt;|z|     [95% Conf. Interval]</t>
  </si>
  <si>
    <t xml:space="preserve"> inc_activity |   4.11e-08   6.54e-08     0.63   0.530    -8.71e-08    1.69e-07</t>
  </si>
  <si>
    <t xml:space="preserve">   inc_grants |  -4.30e-08   6.07e-08    -0.71   0.479    -1.62e-07    7.60e-08</t>
  </si>
  <si>
    <t>inc_donations |   1.36e-07   6.27e-08     2.16   0.031     1.28e-08    2.59e-07</t>
  </si>
  <si>
    <t xml:space="preserve">  total_costs |   3.47e-08   5.84e-08     0.60   0.552    -7.96e-08    1.49e-07</t>
  </si>
  <si>
    <t xml:space="preserve">        _cons |   .0445422   .0563431     0.79   0.429    -.0658883    .1549726</t>
  </si>
  <si>
    <t>Note: 0 failures and 129 successes completely determined.</t>
  </si>
  <si>
    <t>z</t>
  </si>
  <si>
    <t>inc_activity</t>
  </si>
  <si>
    <t>xtreg inc_activity inc_grants inc_donations total_costs</t>
  </si>
  <si>
    <t>Random-effects GLS regression                   Number of obs     =        811</t>
  </si>
  <si>
    <t>Group variable: index                           Number of groups  =        152</t>
  </si>
  <si>
    <t>R-sq:                                           Obs per group:</t>
  </si>
  <si>
    <t xml:space="preserve">     within  = 0.2586                                         min =          3</t>
  </si>
  <si>
    <t xml:space="preserve">     between = 0.7519                                         avg =        5.3</t>
  </si>
  <si>
    <t xml:space="preserve">     overall = 0.7481                                         max =          6</t>
  </si>
  <si>
    <t xml:space="preserve">                                                Wald chi2(3)      =    1212.57</t>
  </si>
  <si>
    <t>corr(u_i, X)   = 0 (assumed)                    Prob &gt; chi2       =     0.0000</t>
  </si>
  <si>
    <t xml:space="preserve"> inc_activity |      Coef.   Std. Err.      z    P&gt;|z|     [95% Conf. Interval]</t>
  </si>
  <si>
    <t xml:space="preserve">   inc_grants |  -.5909996    .037424   -15.79   0.000    -.6643492   -.5176499</t>
  </si>
  <si>
    <t>inc_donations |  -.1135985   .0132885    -8.55   0.000    -.1396434   -.0875536</t>
  </si>
  <si>
    <t xml:space="preserve">  total_costs |   .5039414   .0146865    34.31   0.000     .4751564    .5327264</t>
  </si>
  <si>
    <t xml:space="preserve">        _cons |   584635.7    1084381     0.54   0.590     -1540712     2709983</t>
  </si>
  <si>
    <t xml:space="preserve">      sigma_u |  7913945.3</t>
  </si>
  <si>
    <t xml:space="preserve">      sigma_e |  3661899.8</t>
  </si>
  <si>
    <t xml:space="preserve">          rho |  .82365198   (fraction of variance due to u_i)</t>
  </si>
  <si>
    <t>regress inc_activity inc_grants inc_donations total_costs By grant_type:  [grant_type=G]</t>
  </si>
  <si>
    <t xml:space="preserve">      Source |       SS           df       MS      Number of obs   =        86</t>
  </si>
  <si>
    <t>-------------+----------------------------------   F(3, 82)        =     78.47</t>
  </si>
  <si>
    <t xml:space="preserve">       Model |  1.3448e+17         3  4.4827e+16   Prob &gt; F        =    0.0000</t>
  </si>
  <si>
    <t xml:space="preserve">    Residual |  4.6841e+16        82  5.7123e+14   R-squared       =    0.7417</t>
  </si>
  <si>
    <t>-------------+----------------------------------   Adj R-squared   =    0.7322</t>
  </si>
  <si>
    <t xml:space="preserve">       Total |  1.8132e+17        85  2.1332e+15   Root MSE        =    2.4e+07</t>
  </si>
  <si>
    <t xml:space="preserve">   inc_grants |  -.9373461   .1655977    -5.66   0.000    -1.266773   -.6079196</t>
  </si>
  <si>
    <t>inc_donations |  -.2864264   .0432039    -6.63   0.000    -.3723726   -.2004801</t>
  </si>
  <si>
    <t xml:space="preserve">  total_costs |   .5129299   .0362801    14.14   0.000     .4407572    .5851026</t>
  </si>
  <si>
    <t xml:space="preserve">        _cons |    3892571    3407730     1.14   0.257     -2886490    1.07e+07</t>
  </si>
  <si>
    <t>regress inc_activity inc_grants inc_donations total_costs By grant_type:  [grant_type=N]</t>
  </si>
  <si>
    <t xml:space="preserve">      Source |       SS           df       MS      Number of obs   =       298</t>
  </si>
  <si>
    <t>-------------+----------------------------------   F(3, 294)       =   1104.31</t>
  </si>
  <si>
    <t xml:space="preserve">       Model |  8.1336e+15         3  2.7112e+15   Prob &gt; F        =    0.0000</t>
  </si>
  <si>
    <t xml:space="preserve">    Residual |  7.2181e+14       294  2.4551e+12   R-squared       =    0.9185</t>
  </si>
  <si>
    <t>-------------+----------------------------------   Adj R-squared   =    0.9177</t>
  </si>
  <si>
    <t xml:space="preserve">       Total |  8.8555e+15       297  2.9816e+13   Root MSE        =    1.6e+06</t>
  </si>
  <si>
    <t xml:space="preserve">   inc_grants |  -.5105922   .4635867    -1.10   0.272    -1.422961    .4017768</t>
  </si>
  <si>
    <t>inc_donations |   -.754057   .0185861   -40.57   0.000    -.7906357   -.7174783</t>
  </si>
  <si>
    <t xml:space="preserve">  total_costs |   .8952462   .0185234    48.33   0.000      .858791    .9317015</t>
  </si>
  <si>
    <t xml:space="preserve">        _cons |  -180162.2   116323.9    -1.55   0.123    -409095.4    48770.98</t>
  </si>
  <si>
    <t>regress inc_activity inc_grants inc_donations total_costs By grant_type:  [grant_type=R]</t>
  </si>
  <si>
    <t xml:space="preserve">      Source |       SS           df       MS      Number of obs   =       383</t>
  </si>
  <si>
    <t>-------------+----------------------------------   F(3, 379)       =   9659.13</t>
  </si>
  <si>
    <t xml:space="preserve">       Model |  1.2074e+18         3  4.0245e+17   Prob &gt; F        =    0.0000</t>
  </si>
  <si>
    <t xml:space="preserve">    Residual |  1.5791e+16       379  4.1665e+13   R-squared       =    0.9871</t>
  </si>
  <si>
    <t>-------------+----------------------------------   Adj R-squared   =    0.9870</t>
  </si>
  <si>
    <t xml:space="preserve">       Total |  1.2231e+18       382  3.2020e+15   Root MSE        =    6.5e+06</t>
  </si>
  <si>
    <t xml:space="preserve">   inc_grants |  -.9655843   .0125057   -77.21   0.000    -.9901736    -.940995</t>
  </si>
  <si>
    <t>inc_donations |  -.9922848   .0201274   -49.30   0.000     -1.03186   -.9527095</t>
  </si>
  <si>
    <t xml:space="preserve">  total_costs |   .9901093   .0062268   159.01   0.000     .9778659    1.002353</t>
  </si>
  <si>
    <t xml:space="preserve">        _cons |   112520.7   356678.3     0.32   0.753    -588795.6      813837</t>
  </si>
  <si>
    <t>regress inc_activity inc_grants inc_donations total_costs By grant_type:  [grant_type=R/G]</t>
  </si>
  <si>
    <t xml:space="preserve">      Source |       SS           df       MS      Number of obs   =        44</t>
  </si>
  <si>
    <t>-------------+----------------------------------   F(3, 40)        =     28.70</t>
  </si>
  <si>
    <t xml:space="preserve">       Model |  4.9562e+15         3  1.6521e+15   Prob &gt; F        =    0.0000</t>
  </si>
  <si>
    <t xml:space="preserve">    Residual |  2.3022e+15        40  5.7554e+13   R-squared       =    0.6828</t>
  </si>
  <si>
    <t>-------------+----------------------------------   Adj R-squared   =    0.6590</t>
  </si>
  <si>
    <t xml:space="preserve">       Total |  7.2584e+15        43  1.6880e+14   Root MSE        =    7.6e+06</t>
  </si>
  <si>
    <t xml:space="preserve">   inc_grants |   .3120225   .1753882     1.78   0.083    -.0424503    .6664954</t>
  </si>
  <si>
    <t>inc_donations |  -.4926823    .065989    -7.47   0.000    -.6260509   -.3593136</t>
  </si>
  <si>
    <t xml:space="preserve">  total_costs |   .3518995   .0873664     4.03   0.000     .1753255    .5284735</t>
  </si>
  <si>
    <t xml:space="preserve">        _cons |    4463170    2481475     1.80   0.080    -552077.8     9478417</t>
  </si>
  <si>
    <t>regress inc_activity inc_grants inc_donations total_costs if if year&gt;2013  By grant_type:  [grant_type=G]</t>
  </si>
  <si>
    <t xml:space="preserve">      Source |       SS           df       MS      Number of obs   =        27</t>
  </si>
  <si>
    <t>-------------+----------------------------------   F(3, 23)        =     95.59</t>
  </si>
  <si>
    <t xml:space="preserve">       Model |  6.4905e+16         3  2.1635e+16   Prob &gt; F        =    0.0000</t>
  </si>
  <si>
    <t xml:space="preserve">    Residual |  5.2055e+15        23  2.2633e+14   R-squared       =    0.9258</t>
  </si>
  <si>
    <t>-------------+----------------------------------   Adj R-squared   =    0.9161</t>
  </si>
  <si>
    <t xml:space="preserve">       Total |  7.0111e+16        26  2.6966e+15   Root MSE        =    1.5e+07</t>
  </si>
  <si>
    <t xml:space="preserve">   inc_grants |  -.5928865   .1742083    -3.40   0.002    -.9532638   -.2325091</t>
  </si>
  <si>
    <t>inc_donations |  -.7106276     .07587    -9.37   0.000    -.8675767   -.5536785</t>
  </si>
  <si>
    <t xml:space="preserve">  total_costs |   .7607788   .0493126    15.43   0.000      .658768    .8627897</t>
  </si>
  <si>
    <t xml:space="preserve">        _cons |   -1388140    3858020    -0.36   0.722     -9369062     6592783</t>
  </si>
  <si>
    <t>regress inc_activity inc_grants inc_donations total_costs if if year&gt;2013  By grant_type:  [grant_type=N]</t>
  </si>
  <si>
    <t xml:space="preserve">      Source |       SS           df       MS      Number of obs   =       117</t>
  </si>
  <si>
    <t>-------------+----------------------------------   F(3, 113)       =    399.43</t>
  </si>
  <si>
    <t xml:space="preserve">       Model |  2.7259e+15         3  9.0863e+14   Prob &gt; F        =    0.0000</t>
  </si>
  <si>
    <t xml:space="preserve">    Residual |  2.5705e+14       113  2.2748e+12   R-squared       =    0.9138</t>
  </si>
  <si>
    <t>-------------+----------------------------------   Adj R-squared   =    0.9115</t>
  </si>
  <si>
    <t xml:space="preserve">       Total |  2.9830e+15       116  2.5715e+13   Root MSE        =    1.5e+06</t>
  </si>
  <si>
    <t xml:space="preserve">   inc_grants |  -.5152289   .7426436    -0.69   0.489     -1.98654    .9560819</t>
  </si>
  <si>
    <t>inc_donations |  -.7499554   .0285595   -26.26   0.000    -.8065369   -.6933739</t>
  </si>
  <si>
    <t xml:space="preserve">  total_costs |   .8846548   .0284973    31.04   0.000     .8281966    .9411131</t>
  </si>
  <si>
    <t xml:space="preserve">        _cons |    -175110   182717.9    -0.96   0.340    -537107.1      186887</t>
  </si>
  <si>
    <t>regress inc_activity inc_grants inc_donations total_costs if if year&gt;2013  By grant_type:  [grant_type=R]</t>
  </si>
  <si>
    <t xml:space="preserve">      Source |       SS           df       MS      Number of obs   =       118</t>
  </si>
  <si>
    <t>-------------+----------------------------------   F(3, 114)       =   9753.33</t>
  </si>
  <si>
    <t xml:space="preserve">       Model |  4.7211e+17         3  1.5737e+17   Prob &gt; F        =    0.0000</t>
  </si>
  <si>
    <t xml:space="preserve">    Residual |  1.8394e+15       114  1.6135e+13   R-squared       =    0.9961</t>
  </si>
  <si>
    <t>-------------+----------------------------------   Adj R-squared   =    0.9960</t>
  </si>
  <si>
    <t xml:space="preserve">       Total |  4.7395e+17       117  4.0508e+15   Root MSE        =    4.0e+06</t>
  </si>
  <si>
    <t xml:space="preserve">   inc_grants |  -.9622428   .0121518   -79.18   0.000    -.9863155   -.9381701</t>
  </si>
  <si>
    <t>inc_donations |  -1.029598   .0210118   -49.00   0.000    -1.071222    -.987974</t>
  </si>
  <si>
    <t xml:space="preserve">  total_costs |   .9998655   .0062161   160.85   0.000     .9875514     1.01218</t>
  </si>
  <si>
    <t xml:space="preserve">        _cons |   -14132.2   401489.7    -0.04   0.972    -809480.3    781215.9</t>
  </si>
  <si>
    <t>regress inc_activity inc_grants inc_donations total_costs if if year&gt;2013  By grant_type:  [grant_type=R/G]</t>
  </si>
  <si>
    <t xml:space="preserve">      Source |       SS           df       MS      Number of obs   =        16</t>
  </si>
  <si>
    <t>-------------+----------------------------------   F(3, 12)        =     11.13</t>
  </si>
  <si>
    <t xml:space="preserve">       Model |  2.8291e+15         3  9.4303e+14   Prob &gt; F        =    0.0009</t>
  </si>
  <si>
    <t xml:space="preserve">    Residual |  1.0168e+15        12  8.4731e+13   R-squared       =    0.7356</t>
  </si>
  <si>
    <t>-------------+----------------------------------   Adj R-squared   =    0.6695</t>
  </si>
  <si>
    <t xml:space="preserve">       Total |  3.8459e+15        15  2.5639e+14   Root MSE        =    9.2e+06</t>
  </si>
  <si>
    <t xml:space="preserve">   inc_grants |    .087858    .378913     0.23   0.821    -.7377226    .9134385</t>
  </si>
  <si>
    <t>inc_donations |  -.5787442   .1214117    -4.77   0.000    -.8432777   -.3142108</t>
  </si>
  <si>
    <t xml:space="preserve">  total_costs |   .5140806   .1810995     2.84   0.015     .1194986    .9086625</t>
  </si>
  <si>
    <t xml:space="preserve">        _cons |    1771525    5662270     0.31   0.760    -1.06e+07    1.41e+07</t>
  </si>
  <si>
    <t xml:space="preserve">twoway (scatter inc_grants inc_activity) , </t>
  </si>
  <si>
    <t>Review required</t>
  </si>
  <si>
    <t xml:space="preserve">twoway (scatter inc_grants inc_activity) , by(grant_type) </t>
  </si>
  <si>
    <t>activity</t>
  </si>
  <si>
    <t>by_graph_test</t>
  </si>
  <si>
    <t>graph_test</t>
  </si>
  <si>
    <t>max_act</t>
  </si>
  <si>
    <t>output_1</t>
  </si>
  <si>
    <t>output_2</t>
  </si>
  <si>
    <t>output_3</t>
  </si>
  <si>
    <t>output_4</t>
  </si>
  <si>
    <t>output_5</t>
  </si>
  <si>
    <t>output_6</t>
  </si>
  <si>
    <t>output_7</t>
  </si>
  <si>
    <t>output_8_A</t>
  </si>
  <si>
    <t>output_8_B</t>
  </si>
  <si>
    <t>output_8_C</t>
  </si>
  <si>
    <t>output_8_D</t>
  </si>
  <si>
    <t>output_9_A</t>
  </si>
  <si>
    <t>output_9_B</t>
  </si>
  <si>
    <t>output_9_C</t>
  </si>
  <si>
    <t>output_9_D</t>
  </si>
  <si>
    <t>small_act</t>
  </si>
  <si>
    <t>ok</t>
  </si>
  <si>
    <t>review</t>
  </si>
  <si>
    <t>fail</t>
  </si>
  <si>
    <t>unsafe statistic: table</t>
  </si>
  <si>
    <t>graph: twoway</t>
  </si>
  <si>
    <t>unsafe statistic: tabulate</t>
  </si>
  <si>
    <t>safe statistic: regress</t>
  </si>
  <si>
    <t>safe statistic: probit</t>
  </si>
  <si>
    <t>safe statistic: xtreg</t>
  </si>
  <si>
    <t>pass</t>
  </si>
  <si>
    <t>review required</t>
  </si>
  <si>
    <t>fail; suppression applied</t>
  </si>
  <si>
    <t>fail; exception requested</t>
  </si>
  <si>
    <t>.</t>
  </si>
  <si>
    <t>trust me, I'm a professor</t>
  </si>
  <si>
    <t>It's not feaible to identify the charities from this information</t>
  </si>
</sst>
</file>

<file path=xl/styles.xml><?xml version="1.0" encoding="utf-8"?>
<styleSheet xmlns="http://schemas.openxmlformats.org/spreadsheetml/2006/main">
  <fonts count="14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ourier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  <font>
      <sz val="11"/>
      <name val="Calibri"/>
    </font>
    <font>
      <sz val="11"/>
      <name val="Calibri"/>
    </font>
    <font>
      <sz val="11"/>
      <name val="calibri"/>
      <color rgb="FFFF0000"/>
    </font>
    <font>
      <sz val="11"/>
      <color rgb="FFFF0000"/>
      <name val="calibri"/>
    </font>
    <font>
      <sz val="11"/>
      <color rgb="FFFF0000"/>
      <name val="calibri"/>
      <b/>
    </font>
    <font>
      <sz val="11"/>
      <color rgb="FFFF0000"/>
      <b/>
      <name val="calibri"/>
    </font>
    <font>
      <sz val="11"/>
      <color rgb="FFFF0000"/>
      <b/>
      <name val="calibri"/>
      <u val="single"/>
    </font>
  </fonts>
  <fills count="2">
    <fill>
      <patternFill patternType="none"/>
    </fill>
    <fill>
      <patternFill patternType="gray125"/>
    </fill>
  </fills>
  <borders count="968">
    <border>
      <left/>
      <right/>
      <top/>
      <bottom/>
      <diagonal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none"/>
      <diagonal style="none"/>
    </border>
  </borders>
  <cellStyleXfs count="1">
    <xf numFmtId="0" fontId="0" fillId="0" borderId="0"/>
  </cellStyleXfs>
  <cellXfs count="969">
    <xf numFmtId="0" fontId="0" fillId="0" borderId="0" xfId="0"/>
    <xf numFmtId="0" fontId="1" fillId="0" borderId="0" xfId="0" applyFont="true" applyAlignment="true">
      <alignment vertical="top" wrapText="true"/>
    </xf>
    <xf numFmtId="0" fontId="2" fillId="0" borderId="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" fillId="0" borderId="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" fillId="0" borderId="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" fillId="0" borderId="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" fillId="0" borderId="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" fillId="0" borderId="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" fillId="0" borderId="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" fillId="0" borderId="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8" fillId="0" borderId="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0" fillId="0" borderId="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2" fillId="0" borderId="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" fillId="0" borderId="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6" fillId="0" borderId="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8" fillId="0" borderId="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0" fillId="0" borderId="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2" fillId="0" borderId="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4" fillId="0" borderId="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6" fillId="0" borderId="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7" fillId="0" borderId="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9" fillId="0" borderId="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1" fillId="0" borderId="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3" fillId="0" borderId="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4" fillId="0" borderId="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6" fillId="0" borderId="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8" fillId="0" borderId="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0" fillId="0" borderId="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2" fillId="0" borderId="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4" fillId="0" borderId="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6" fillId="0" borderId="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8" fillId="0" borderId="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0" fillId="0" borderId="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2" fillId="0" borderId="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4" fillId="0" borderId="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6" fillId="0" borderId="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8" fillId="0" borderId="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0" fillId="0" borderId="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2" fillId="0" borderId="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4" fillId="0" borderId="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6" fillId="0" borderId="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8" fillId="0" borderId="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0" fillId="0" borderId="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2" fillId="0" borderId="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4" fillId="0" borderId="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6" fillId="0" borderId="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8" fillId="0" borderId="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0" fillId="0" borderId="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2" fillId="0" borderId="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4" fillId="0" borderId="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6" fillId="0" borderId="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8" fillId="0" borderId="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0" fillId="0" borderId="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2" fillId="0" borderId="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" fillId="0" borderId="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6" fillId="0" borderId="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8" fillId="0" borderId="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0" fillId="0" borderId="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2" fillId="0" borderId="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4" fillId="0" borderId="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6" fillId="0" borderId="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8" fillId="0" borderId="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0" fillId="0" borderId="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2" fillId="0" borderId="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4" fillId="0" borderId="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" fillId="0" borderId="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" fillId="0" borderId="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" fillId="0" borderId="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" fillId="0" borderId="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4" fillId="0" borderId="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" fillId="0" borderId="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8" fillId="0" borderId="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" fillId="0" borderId="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2" fillId="0" borderId="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4" fillId="0" borderId="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6" fillId="0" borderId="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8" fillId="0" borderId="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50" fillId="0" borderId="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52" fillId="0" borderId="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54" fillId="0" borderId="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56" fillId="0" borderId="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58" fillId="0" borderId="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0" fillId="0" borderId="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2" fillId="0" borderId="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4" fillId="0" borderId="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6" fillId="0" borderId="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7" fillId="0" borderId="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69" fillId="0" borderId="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71" fillId="0" borderId="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73" fillId="0" borderId="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75" fillId="0" borderId="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77" fillId="0" borderId="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79" fillId="0" borderId="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81" fillId="0" borderId="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83" fillId="0" borderId="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85" fillId="0" borderId="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87" fillId="0" borderId="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89" fillId="0" borderId="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91" fillId="0" borderId="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93" fillId="0" borderId="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95" fillId="0" borderId="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97" fillId="0" borderId="1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99" fillId="0" borderId="1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01" fillId="0" borderId="1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03" fillId="0" borderId="1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05" fillId="0" borderId="1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07" fillId="0" borderId="1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09" fillId="0" borderId="1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11" fillId="0" borderId="1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13" fillId="0" borderId="1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15" fillId="0" borderId="1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17" fillId="0" borderId="1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19" fillId="0" borderId="1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21" fillId="0" borderId="1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23" fillId="0" borderId="1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25" fillId="0" borderId="1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27" fillId="0" borderId="1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29" fillId="0" borderId="1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31" fillId="0" borderId="1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33" fillId="0" borderId="1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35" fillId="0" borderId="1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37" fillId="0" borderId="1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38" fillId="0" borderId="1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0" fillId="0" borderId="1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2" fillId="0" borderId="1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4" fillId="0" borderId="1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5" fillId="0" borderId="1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7" fillId="0" borderId="1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49" fillId="0" borderId="1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51" fillId="0" borderId="1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52" fillId="0" borderId="1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54" fillId="0" borderId="1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56" fillId="0" borderId="1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58" fillId="0" borderId="1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60" fillId="0" borderId="1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62" fillId="0" borderId="1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64" fillId="0" borderId="1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66" fillId="0" borderId="1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68" fillId="0" borderId="1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70" fillId="0" borderId="1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72" fillId="0" borderId="1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74" fillId="0" borderId="1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76" fillId="0" borderId="1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78" fillId="0" borderId="1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80" fillId="0" borderId="1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82" fillId="0" borderId="1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84" fillId="0" borderId="1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86" fillId="0" borderId="1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88" fillId="0" borderId="1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90" fillId="0" borderId="1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92" fillId="0" borderId="1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94" fillId="0" borderId="1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96" fillId="0" borderId="1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298" fillId="0" borderId="1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00" fillId="0" borderId="1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02" fillId="0" borderId="1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04" fillId="0" borderId="1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06" fillId="0" borderId="1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08" fillId="0" borderId="1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10" fillId="0" borderId="1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12" fillId="0" borderId="1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14" fillId="0" borderId="1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16" fillId="0" borderId="1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18" fillId="0" borderId="1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20" fillId="0" borderId="1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22" fillId="0" borderId="1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24" fillId="0" borderId="1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26" fillId="0" borderId="1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28" fillId="0" borderId="1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30" fillId="0" borderId="1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32" fillId="0" borderId="1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34" fillId="0" borderId="1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36" fillId="0" borderId="1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37" fillId="0" borderId="1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39" fillId="0" borderId="1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41" fillId="0" borderId="1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43" fillId="0" borderId="1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45" fillId="0" borderId="1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47" fillId="0" borderId="1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49" fillId="0" borderId="1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51" fillId="0" borderId="1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53" fillId="0" borderId="1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55" fillId="0" borderId="1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57" fillId="0" borderId="1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59" fillId="0" borderId="1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61" fillId="0" borderId="1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63" fillId="0" borderId="1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65" fillId="0" borderId="1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67" fillId="0" borderId="1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69" fillId="0" borderId="1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71" fillId="0" borderId="1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73" fillId="0" borderId="1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375" fillId="0" borderId="1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76" fillId="0" borderId="1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77" fillId="0" borderId="1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78" fillId="0" borderId="1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79" fillId="0" borderId="1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0" fillId="0" borderId="1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1" fillId="0" borderId="1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2" fillId="0" borderId="1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3" fillId="0" borderId="1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4" fillId="0" borderId="2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5" fillId="0" borderId="2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6" fillId="0" borderId="2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7" fillId="0" borderId="2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8" fillId="0" borderId="2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89" fillId="0" borderId="2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0" fillId="0" borderId="2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1" fillId="0" borderId="2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2" fillId="0" borderId="2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3" fillId="0" borderId="2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4" fillId="0" borderId="2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5" fillId="0" borderId="2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6" fillId="0" borderId="2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7" fillId="0" borderId="2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8" fillId="0" borderId="2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399" fillId="0" borderId="2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0" fillId="0" borderId="2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1" fillId="0" borderId="2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2" fillId="0" borderId="2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3" fillId="0" borderId="2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4" fillId="0" borderId="2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5" fillId="0" borderId="2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6" fillId="0" borderId="2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7" fillId="0" borderId="2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8" fillId="0" borderId="2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09" fillId="0" borderId="2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0" fillId="0" borderId="2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1" fillId="0" borderId="2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2" fillId="0" borderId="2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3" fillId="0" borderId="2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4" fillId="0" borderId="2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5" fillId="0" borderId="2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6" fillId="0" borderId="2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7" fillId="0" borderId="2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8" fillId="0" borderId="2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19" fillId="0" borderId="2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20" fillId="0" borderId="2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21" fillId="0" borderId="2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22" fillId="0" borderId="2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23" fillId="0" borderId="2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24" fillId="0" borderId="2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25" fillId="0" borderId="2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26" fillId="0" borderId="2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28" fillId="0" borderId="2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30" fillId="0" borderId="2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32" fillId="0" borderId="2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34" fillId="0" borderId="2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36" fillId="0" borderId="2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38" fillId="0" borderId="2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40" fillId="0" borderId="2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42" fillId="0" borderId="2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44" fillId="0" borderId="2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46" fillId="0" borderId="2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48" fillId="0" borderId="2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50" fillId="0" borderId="2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52" fillId="0" borderId="2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54" fillId="0" borderId="2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56" fillId="0" borderId="2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58" fillId="0" borderId="2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60" fillId="0" borderId="2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62" fillId="0" borderId="2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64" fillId="0" borderId="2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66" fillId="0" borderId="2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68" fillId="0" borderId="2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70" fillId="0" borderId="2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72" fillId="0" borderId="2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74" fillId="0" borderId="2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76" fillId="0" borderId="2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78" fillId="0" borderId="2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480" fillId="0" borderId="2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1" fillId="0" borderId="2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2" fillId="0" borderId="2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3" fillId="0" borderId="2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4" fillId="0" borderId="2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5" fillId="0" borderId="2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6" fillId="0" borderId="2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7" fillId="0" borderId="2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8" fillId="0" borderId="2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89" fillId="0" borderId="2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0" fillId="0" borderId="2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1" fillId="0" borderId="2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2" fillId="0" borderId="2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3" fillId="0" borderId="2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4" fillId="0" borderId="2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5" fillId="0" borderId="2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6" fillId="0" borderId="2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7" fillId="0" borderId="2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8" fillId="0" borderId="2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499" fillId="0" borderId="2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0" fillId="0" borderId="2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1" fillId="0" borderId="2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2" fillId="0" borderId="2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3" fillId="0" borderId="2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4" fillId="0" borderId="2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5" fillId="0" borderId="2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6" fillId="0" borderId="2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7" fillId="0" borderId="2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8" fillId="0" borderId="2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09" fillId="0" borderId="2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0" fillId="0" borderId="2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1" fillId="0" borderId="3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2" fillId="0" borderId="3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3" fillId="0" borderId="3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4" fillId="0" borderId="3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5" fillId="0" borderId="3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6" fillId="0" borderId="3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7" fillId="0" borderId="3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8" fillId="0" borderId="3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19" fillId="0" borderId="3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0" fillId="0" borderId="3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1" fillId="0" borderId="3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2" fillId="0" borderId="3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3" fillId="0" borderId="3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4" fillId="0" borderId="3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5" fillId="0" borderId="3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6" fillId="0" borderId="3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7" fillId="0" borderId="3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8" fillId="0" borderId="3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29" fillId="0" borderId="3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0" fillId="0" borderId="3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1" fillId="0" borderId="3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2" fillId="0" borderId="3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3" fillId="0" borderId="3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4" fillId="0" borderId="3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5" fillId="0" borderId="3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6" fillId="0" borderId="3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7" fillId="0" borderId="3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8" fillId="0" borderId="3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39" fillId="0" borderId="3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0" fillId="0" borderId="3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1" fillId="0" borderId="3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2" fillId="0" borderId="3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3" fillId="0" borderId="3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4" fillId="0" borderId="3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5" fillId="0" borderId="3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46" fillId="0" borderId="3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47" fillId="0" borderId="3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49" fillId="0" borderId="3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51" fillId="0" borderId="3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53" fillId="0" borderId="3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55" fillId="0" borderId="3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57" fillId="0" borderId="3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59" fillId="0" borderId="3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61" fillId="0" borderId="3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63" fillId="0" borderId="3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65" fillId="0" borderId="3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67" fillId="0" borderId="3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69" fillId="0" borderId="3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71" fillId="0" borderId="3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73" fillId="0" borderId="3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75" fillId="0" borderId="3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77" fillId="0" borderId="3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79" fillId="0" borderId="3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81" fillId="0" borderId="3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83" fillId="0" borderId="3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85" fillId="0" borderId="3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87" fillId="0" borderId="3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89" fillId="0" borderId="3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91" fillId="0" borderId="3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93" fillId="0" borderId="3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95" fillId="0" borderId="3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597" fillId="0" borderId="3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98" fillId="0" borderId="3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599" fillId="0" borderId="3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0" fillId="0" borderId="3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1" fillId="0" borderId="3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2" fillId="0" borderId="3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3" fillId="0" borderId="3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4" fillId="0" borderId="3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5" fillId="0" borderId="3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6" fillId="0" borderId="3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7" fillId="0" borderId="3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8" fillId="0" borderId="3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09" fillId="0" borderId="3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0" fillId="0" borderId="3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1" fillId="0" borderId="3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2" fillId="0" borderId="3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3" fillId="0" borderId="3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4" fillId="0" borderId="3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5" fillId="0" borderId="3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6" fillId="0" borderId="3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7" fillId="0" borderId="3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8" fillId="0" borderId="3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19" fillId="0" borderId="3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0" fillId="0" borderId="3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1" fillId="0" borderId="3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2" fillId="0" borderId="3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3" fillId="0" borderId="3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4" fillId="0" borderId="3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5" fillId="0" borderId="3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6" fillId="0" borderId="3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7" fillId="0" borderId="3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8" fillId="0" borderId="3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29" fillId="0" borderId="3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0" fillId="0" borderId="3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1" fillId="0" borderId="3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2" fillId="0" borderId="3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3" fillId="0" borderId="3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4" fillId="0" borderId="3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5" fillId="0" borderId="3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6" fillId="0" borderId="4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7" fillId="0" borderId="4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8" fillId="0" borderId="4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39" fillId="0" borderId="4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0" fillId="0" borderId="4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1" fillId="0" borderId="4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2" fillId="0" borderId="4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3" fillId="0" borderId="4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4" fillId="0" borderId="4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5" fillId="0" borderId="4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6" fillId="0" borderId="4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47" fillId="0" borderId="4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48" fillId="0" borderId="4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50" fillId="0" borderId="4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52" fillId="0" borderId="4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54" fillId="0" borderId="4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56" fillId="0" borderId="4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58" fillId="0" borderId="4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60" fillId="0" borderId="4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62" fillId="0" borderId="4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64" fillId="0" borderId="4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66" fillId="0" borderId="4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68" fillId="0" borderId="4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70" fillId="0" borderId="4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72" fillId="0" borderId="4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74" fillId="0" borderId="4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76" fillId="0" borderId="4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78" fillId="0" borderId="4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80" fillId="0" borderId="4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82" fillId="0" borderId="4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84" fillId="0" borderId="4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686" fillId="0" borderId="4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87" fillId="0" borderId="4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88" fillId="0" borderId="4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89" fillId="0" borderId="4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0" fillId="0" borderId="4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1" fillId="0" borderId="4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2" fillId="0" borderId="4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3" fillId="0" borderId="4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4" fillId="0" borderId="4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5" fillId="0" borderId="4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6" fillId="0" borderId="4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7" fillId="0" borderId="4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8" fillId="0" borderId="4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699" fillId="0" borderId="4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0" fillId="0" borderId="4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1" fillId="0" borderId="4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2" fillId="0" borderId="4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3" fillId="0" borderId="4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4" fillId="0" borderId="4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5" fillId="0" borderId="4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6" fillId="0" borderId="4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7" fillId="0" borderId="4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8" fillId="0" borderId="4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09" fillId="0" borderId="4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0" fillId="0" borderId="4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1" fillId="0" borderId="4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2" fillId="0" borderId="4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3" fillId="0" borderId="4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4" fillId="0" borderId="4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5" fillId="0" borderId="4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6" fillId="0" borderId="4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7" fillId="0" borderId="4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8" fillId="0" borderId="4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19" fillId="0" borderId="4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0" fillId="0" borderId="4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1" fillId="0" borderId="4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2" fillId="0" borderId="4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3" fillId="0" borderId="4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4" fillId="0" borderId="4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5" fillId="0" borderId="4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6" fillId="0" borderId="4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7" fillId="0" borderId="4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8" fillId="0" borderId="4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29" fillId="0" borderId="4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0" fillId="0" borderId="4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1" fillId="0" borderId="4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2" fillId="0" borderId="4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3" fillId="0" borderId="4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4" fillId="0" borderId="4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5" fillId="0" borderId="4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36" fillId="0" borderId="4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37" fillId="0" borderId="4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39" fillId="0" borderId="4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41" fillId="0" borderId="4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43" fillId="0" borderId="4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45" fillId="0" borderId="4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47" fillId="0" borderId="4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49" fillId="0" borderId="4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51" fillId="0" borderId="4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53" fillId="0" borderId="4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55" fillId="0" borderId="4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57" fillId="0" borderId="4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59" fillId="0" borderId="4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61" fillId="0" borderId="4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63" fillId="0" borderId="4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65" fillId="0" borderId="4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67" fillId="0" borderId="4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69" fillId="0" borderId="4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71" fillId="0" borderId="4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73" fillId="0" borderId="5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775" fillId="0" borderId="5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76" fillId="0" borderId="5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77" fillId="0" borderId="5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78" fillId="0" borderId="5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79" fillId="0" borderId="5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0" fillId="0" borderId="5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1" fillId="0" borderId="5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2" fillId="0" borderId="5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3" fillId="0" borderId="5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4" fillId="0" borderId="5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5" fillId="0" borderId="5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6" fillId="0" borderId="5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7" fillId="0" borderId="5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8" fillId="0" borderId="5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89" fillId="0" borderId="5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0" fillId="0" borderId="5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1" fillId="0" borderId="5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2" fillId="0" borderId="5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3" fillId="0" borderId="5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4" fillId="0" borderId="5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5" fillId="0" borderId="5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6" fillId="0" borderId="5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7" fillId="0" borderId="5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8" fillId="0" borderId="5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799" fillId="0" borderId="5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0" fillId="0" borderId="5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1" fillId="0" borderId="5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2" fillId="0" borderId="5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3" fillId="0" borderId="5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4" fillId="0" borderId="5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5" fillId="0" borderId="5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6" fillId="0" borderId="5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7" fillId="0" borderId="5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8" fillId="0" borderId="5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09" fillId="0" borderId="5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0" fillId="0" borderId="5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1" fillId="0" borderId="5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2" fillId="0" borderId="5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3" fillId="0" borderId="5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4" fillId="0" borderId="5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5" fillId="0" borderId="5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6" fillId="0" borderId="5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7" fillId="0" borderId="5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8" fillId="0" borderId="5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19" fillId="0" borderId="5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20" fillId="0" borderId="5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21" fillId="0" borderId="5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22" fillId="0" borderId="5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23" fillId="0" borderId="5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24" fillId="0" borderId="5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25" fillId="0" borderId="5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26" fillId="0" borderId="5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28" fillId="0" borderId="5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30" fillId="0" borderId="5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32" fillId="0" borderId="5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34" fillId="0" borderId="5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36" fillId="0" borderId="5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38" fillId="0" borderId="5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40" fillId="0" borderId="5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42" fillId="0" borderId="5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44" fillId="0" borderId="5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46" fillId="0" borderId="5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48" fillId="0" borderId="5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50" fillId="0" borderId="5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52" fillId="0" borderId="5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54" fillId="0" borderId="5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56" fillId="0" borderId="5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58" fillId="0" borderId="5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60" fillId="0" borderId="5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62" fillId="0" borderId="5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864" fillId="0" borderId="5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65" fillId="0" borderId="5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66" fillId="0" borderId="5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67" fillId="0" borderId="5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68" fillId="0" borderId="5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69" fillId="0" borderId="5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0" fillId="0" borderId="5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1" fillId="0" borderId="5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2" fillId="0" borderId="5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3" fillId="0" borderId="5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4" fillId="0" borderId="5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5" fillId="0" borderId="5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6" fillId="0" borderId="5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7" fillId="0" borderId="5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8" fillId="0" borderId="5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79" fillId="0" borderId="5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0" fillId="0" borderId="5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1" fillId="0" borderId="5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2" fillId="0" borderId="5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3" fillId="0" borderId="5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4" fillId="0" borderId="5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5" fillId="0" borderId="5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6" fillId="0" borderId="5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7" fillId="0" borderId="5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8" fillId="0" borderId="5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89" fillId="0" borderId="5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0" fillId="0" borderId="5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1" fillId="0" borderId="5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2" fillId="0" borderId="5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3" fillId="0" borderId="6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4" fillId="0" borderId="6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5" fillId="0" borderId="6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6" fillId="0" borderId="6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7" fillId="0" borderId="6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8" fillId="0" borderId="6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899" fillId="0" borderId="6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0" fillId="0" borderId="6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1" fillId="0" borderId="6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2" fillId="0" borderId="6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3" fillId="0" borderId="6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4" fillId="0" borderId="6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5" fillId="0" borderId="6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6" fillId="0" borderId="6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7" fillId="0" borderId="6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8" fillId="0" borderId="6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09" fillId="0" borderId="6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10" fillId="0" borderId="6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11" fillId="0" borderId="6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12" fillId="0" borderId="6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13" fillId="0" borderId="6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14" fillId="0" borderId="6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15" fillId="0" borderId="6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17" fillId="0" borderId="6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19" fillId="0" borderId="6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21" fillId="0" borderId="6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23" fillId="0" borderId="6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25" fillId="0" borderId="6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27" fillId="0" borderId="6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29" fillId="0" borderId="6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31" fillId="0" borderId="6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33" fillId="0" borderId="6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35" fillId="0" borderId="6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37" fillId="0" borderId="6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39" fillId="0" borderId="6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41" fillId="0" borderId="6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43" fillId="0" borderId="6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45" fillId="0" borderId="6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47" fillId="0" borderId="6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49" fillId="0" borderId="6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51" fillId="0" borderId="6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953" fillId="0" borderId="6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54" fillId="0" borderId="6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55" fillId="0" borderId="6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56" fillId="0" borderId="6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57" fillId="0" borderId="6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58" fillId="0" borderId="6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59" fillId="0" borderId="6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0" fillId="0" borderId="6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1" fillId="0" borderId="6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2" fillId="0" borderId="6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3" fillId="0" borderId="6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4" fillId="0" borderId="6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5" fillId="0" borderId="6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6" fillId="0" borderId="6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7" fillId="0" borderId="6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8" fillId="0" borderId="6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69" fillId="0" borderId="6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0" fillId="0" borderId="6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1" fillId="0" borderId="6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2" fillId="0" borderId="6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3" fillId="0" borderId="6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4" fillId="0" borderId="6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5" fillId="0" borderId="6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6" fillId="0" borderId="6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7" fillId="0" borderId="6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8" fillId="0" borderId="6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79" fillId="0" borderId="6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0" fillId="0" borderId="6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1" fillId="0" borderId="6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2" fillId="0" borderId="6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3" fillId="0" borderId="6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4" fillId="0" borderId="6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5" fillId="0" borderId="6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6" fillId="0" borderId="6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7" fillId="0" borderId="6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8" fillId="0" borderId="6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89" fillId="0" borderId="6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0" fillId="0" borderId="6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1" fillId="0" borderId="6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2" fillId="0" borderId="6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3" fillId="0" borderId="6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4" fillId="0" borderId="6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5" fillId="0" borderId="6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6" fillId="0" borderId="6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7" fillId="0" borderId="6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8" fillId="0" borderId="6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999" fillId="0" borderId="6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00" fillId="0" borderId="6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01" fillId="0" borderId="6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02" fillId="0" borderId="6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03" fillId="0" borderId="6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04" fillId="0" borderId="6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06" fillId="0" borderId="6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08" fillId="0" borderId="6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10" fillId="0" borderId="6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12" fillId="0" borderId="6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14" fillId="0" borderId="6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16" fillId="0" borderId="6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18" fillId="0" borderId="6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20" fillId="0" borderId="7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22" fillId="0" borderId="7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24" fillId="0" borderId="7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26" fillId="0" borderId="7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28" fillId="0" borderId="7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30" fillId="0" borderId="7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32" fillId="0" borderId="7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34" fillId="0" borderId="7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36" fillId="0" borderId="7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38" fillId="0" borderId="7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0" fillId="0" borderId="7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2" fillId="0" borderId="7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3" fillId="0" borderId="7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5" fillId="0" borderId="7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7" fillId="0" borderId="7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49" fillId="0" borderId="7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50" fillId="0" borderId="7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52" fillId="0" borderId="7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54" fillId="0" borderId="7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56" fillId="0" borderId="7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58" fillId="0" borderId="7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60" fillId="0" borderId="7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62" fillId="0" borderId="7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64" fillId="0" borderId="7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66" fillId="0" borderId="7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68" fillId="0" borderId="7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70" fillId="0" borderId="7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72" fillId="0" borderId="7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74" fillId="0" borderId="7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76" fillId="0" borderId="7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78" fillId="0" borderId="7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80" fillId="0" borderId="7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82" fillId="0" borderId="7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84" fillId="0" borderId="7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86" fillId="0" borderId="7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088" fillId="0" borderId="7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89" fillId="0" borderId="7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0" fillId="0" borderId="7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1" fillId="0" borderId="7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2" fillId="0" borderId="7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3" fillId="0" borderId="7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4" fillId="0" borderId="7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5" fillId="0" borderId="7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6" fillId="0" borderId="7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7" fillId="0" borderId="7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8" fillId="0" borderId="7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099" fillId="0" borderId="7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0" fillId="0" borderId="7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1" fillId="0" borderId="7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2" fillId="0" borderId="7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3" fillId="0" borderId="7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4" fillId="0" borderId="7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5" fillId="0" borderId="7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6" fillId="0" borderId="7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7" fillId="0" borderId="7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8" fillId="0" borderId="7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09" fillId="0" borderId="7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0" fillId="0" borderId="7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1" fillId="0" borderId="7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2" fillId="0" borderId="7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3" fillId="0" borderId="7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4" fillId="0" borderId="7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5" fillId="0" borderId="7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6" fillId="0" borderId="7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7" fillId="0" borderId="7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8" fillId="0" borderId="7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19" fillId="0" borderId="7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0" fillId="0" borderId="7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1" fillId="0" borderId="7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2" fillId="0" borderId="7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3" fillId="0" borderId="7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4" fillId="0" borderId="7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5" fillId="0" borderId="7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6" fillId="0" borderId="7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7" fillId="0" borderId="7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8" fillId="0" borderId="7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29" fillId="0" borderId="7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0" fillId="0" borderId="7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1" fillId="0" borderId="7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2" fillId="0" borderId="7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3" fillId="0" borderId="7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4" fillId="0" borderId="7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5" fillId="0" borderId="7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6" fillId="0" borderId="7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7" fillId="0" borderId="7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38" fillId="0" borderId="7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39" fillId="0" borderId="7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41" fillId="0" borderId="7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43" fillId="0" borderId="7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45" fillId="0" borderId="7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47" fillId="0" borderId="7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49" fillId="0" borderId="7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51" fillId="0" borderId="7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53" fillId="0" borderId="7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55" fillId="0" borderId="7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57" fillId="0" borderId="7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59" fillId="0" borderId="7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61" fillId="0" borderId="7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63" fillId="0" borderId="7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65" fillId="0" borderId="7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67" fillId="0" borderId="8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69" fillId="0" borderId="8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71" fillId="0" borderId="8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73" fillId="0" borderId="8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75" fillId="0" borderId="8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177" fillId="0" borderId="8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78" fillId="0" borderId="8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79" fillId="0" borderId="8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0" fillId="0" borderId="8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1" fillId="0" borderId="8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2" fillId="0" borderId="8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3" fillId="0" borderId="8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4" fillId="0" borderId="8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5" fillId="0" borderId="8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6" fillId="0" borderId="8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7" fillId="0" borderId="8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8" fillId="0" borderId="8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89" fillId="0" borderId="8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0" fillId="0" borderId="8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1" fillId="0" borderId="8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2" fillId="0" borderId="8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3" fillId="0" borderId="8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4" fillId="0" borderId="8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5" fillId="0" borderId="8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6" fillId="0" borderId="8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7" fillId="0" borderId="8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8" fillId="0" borderId="8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199" fillId="0" borderId="8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0" fillId="0" borderId="8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1" fillId="0" borderId="8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2" fillId="0" borderId="8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3" fillId="0" borderId="8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4" fillId="0" borderId="8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5" fillId="0" borderId="8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6" fillId="0" borderId="8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7" fillId="0" borderId="8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8" fillId="0" borderId="8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09" fillId="0" borderId="8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0" fillId="0" borderId="8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1" fillId="0" borderId="8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2" fillId="0" borderId="8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3" fillId="0" borderId="8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4" fillId="0" borderId="8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5" fillId="0" borderId="8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6" fillId="0" borderId="8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7" fillId="0" borderId="8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8" fillId="0" borderId="8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19" fillId="0" borderId="8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0" fillId="0" borderId="8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1" fillId="0" borderId="8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2" fillId="0" borderId="8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3" fillId="0" borderId="8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4" fillId="0" borderId="8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5" fillId="0" borderId="8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6" fillId="0" borderId="8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2" fontId="1227" fillId="0" borderId="8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28" fillId="0" borderId="8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30" fillId="0" borderId="8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32" fillId="0" borderId="8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34" fillId="0" borderId="8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36" fillId="0" borderId="8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38" fillId="0" borderId="8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40" fillId="0" borderId="8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42" fillId="0" borderId="8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44" fillId="0" borderId="8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46" fillId="0" borderId="8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48" fillId="0" borderId="8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50" fillId="0" borderId="8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52" fillId="0" borderId="86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54" fillId="0" borderId="86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56" fillId="0" borderId="87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58" fillId="0" borderId="87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0" fillId="0" borderId="87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2" fillId="0" borderId="87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4" fillId="0" borderId="87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6" fillId="0" borderId="87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7" fillId="0" borderId="87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69" fillId="0" borderId="87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71" fillId="0" borderId="87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73" fillId="0" borderId="87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74" fillId="0" borderId="88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76" fillId="0" borderId="88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78" fillId="0" borderId="88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0" fillId="0" borderId="88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1" fillId="0" borderId="88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3" fillId="0" borderId="88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5" fillId="0" borderId="88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7" fillId="0" borderId="88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88" fillId="0" borderId="88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90" fillId="0" borderId="88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92" fillId="0" borderId="89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94" fillId="0" borderId="89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95" fillId="0" borderId="89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97" fillId="0" borderId="89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299" fillId="0" borderId="89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1" fillId="0" borderId="89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2" fillId="0" borderId="89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4" fillId="0" borderId="89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6" fillId="0" borderId="89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8" fillId="0" borderId="89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09" fillId="0" borderId="90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11" fillId="0" borderId="90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13" fillId="0" borderId="90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15" fillId="0" borderId="90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16" fillId="0" borderId="90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18" fillId="0" borderId="90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0" fillId="0" borderId="90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2" fillId="0" borderId="90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3" fillId="0" borderId="90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5" fillId="0" borderId="90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7" fillId="0" borderId="91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29" fillId="0" borderId="91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30" fillId="0" borderId="91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32" fillId="0" borderId="91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34" fillId="0" borderId="91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36" fillId="0" borderId="91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37" fillId="0" borderId="91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39" fillId="0" borderId="91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41" fillId="0" borderId="91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43" fillId="0" borderId="91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44" fillId="0" borderId="92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46" fillId="0" borderId="92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48" fillId="0" borderId="92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50" fillId="0" borderId="92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51" fillId="0" borderId="92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53" fillId="0" borderId="92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55" fillId="0" borderId="92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57" fillId="0" borderId="92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58" fillId="0" borderId="92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0" fillId="0" borderId="92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2" fillId="0" borderId="93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4" fillId="0" borderId="93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5" fillId="0" borderId="93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7" fillId="0" borderId="93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69" fillId="0" borderId="93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71" fillId="0" borderId="93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72" fillId="0" borderId="93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74" fillId="0" borderId="93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76" fillId="0" borderId="93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78" fillId="0" borderId="93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79" fillId="0" borderId="94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81" fillId="0" borderId="94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83" fillId="0" borderId="94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85" fillId="0" borderId="94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86" fillId="0" borderId="94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88" fillId="0" borderId="94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90" fillId="0" borderId="94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92" fillId="0" borderId="94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93" fillId="0" borderId="94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95" fillId="0" borderId="94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97" fillId="0" borderId="95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399" fillId="0" borderId="95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0" fillId="0" borderId="95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2" fillId="0" borderId="95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4" fillId="0" borderId="95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6" fillId="0" borderId="95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7" fillId="0" borderId="95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09" fillId="0" borderId="95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11" fillId="0" borderId="958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13" fillId="0" borderId="959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14" fillId="0" borderId="960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16" fillId="0" borderId="961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18" fillId="0" borderId="962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20" fillId="0" borderId="963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21" fillId="0" borderId="964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23" fillId="0" borderId="965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25" fillId="0" borderId="966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427" fillId="0" borderId="967" xfId="0" applyNumberFormat="true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?><Relationships xmlns="http://schemas.openxmlformats.org/package/2006/relationships"><Relationship Target="vbaProject.bin" Type="http://schemas.microsoft.com/office/2006/relationships/vbaProject" Id="rId8"/><Relationship Target="styles.xml" Type="http://schemas.openxmlformats.org/officeDocument/2006/relationships/styles" Id="rId3"/><Relationship Target="../customXml/item3.xml" Type="http://schemas.openxmlformats.org/officeDocument/2006/relationships/customXml" Id="rId7"/><Relationship Target="theme/theme1.xml" Type="http://schemas.openxmlformats.org/officeDocument/2006/relationships/theme" Id="rId2"/><Relationship Target="worksheets/sheet1.xml" Type="http://schemas.openxmlformats.org/officeDocument/2006/relationships/worksheet" Id="rId1"/><Relationship Target="../customXml/item2.xml" Type="http://schemas.openxmlformats.org/officeDocument/2006/relationships/customXml" Id="rId6"/><Relationship Target="../customXml/item1.xml" Type="http://schemas.openxmlformats.org/officeDocument/2006/relationships/customXml" Id="rId5"/><Relationship Target="sharedStrings.xml" Type="http://schemas.openxmlformats.org/officeDocument/2006/relationships/sharedStrings" Id="rId4"/><Relationship Target="worksheets/sheet2.xml" Type="http://schemas.openxmlformats.org/officeDocument/2006/relationships/worksheet" Id="rId9"/><Relationship Target="worksheets/sheet3.xml" Type="http://schemas.openxmlformats.org/officeDocument/2006/relationships/worksheet" Id="rId10"/><Relationship Target="worksheets/sheet4.xml" Type="http://schemas.openxmlformats.org/officeDocument/2006/relationships/worksheet" Id="rId11"/><Relationship Target="worksheets/sheet5.xml" Type="http://schemas.openxmlformats.org/officeDocument/2006/relationships/worksheet" Id="rId12"/><Relationship Target="worksheets/sheet6.xml" Type="http://schemas.openxmlformats.org/officeDocument/2006/relationships/worksheet" Id="rId13"/><Relationship Target="worksheets/sheet7.xml" Type="http://schemas.openxmlformats.org/officeDocument/2006/relationships/worksheet" Id="rId14"/><Relationship Target="worksheets/sheet8.xml" Type="http://schemas.openxmlformats.org/officeDocument/2006/relationships/worksheet" Id="rId15"/><Relationship Target="worksheets/sheet9.xml" Type="http://schemas.openxmlformats.org/officeDocument/2006/relationships/worksheet" Id="rId16"/><Relationship Target="worksheets/sheet10.xml" Type="http://schemas.openxmlformats.org/officeDocument/2006/relationships/worksheet" Id="rId17"/><Relationship Target="worksheets/sheet11.xml" Type="http://schemas.openxmlformats.org/officeDocument/2006/relationships/worksheet" Id="rId18"/><Relationship Target="worksheets/sheet12.xml" Type="http://schemas.openxmlformats.org/officeDocument/2006/relationships/worksheet" Id="rId19"/><Relationship Target="worksheets/sheet13.xml" Type="http://schemas.openxmlformats.org/officeDocument/2006/relationships/worksheet" Id="rId20"/><Relationship Target="worksheets/sheet14.xml" Type="http://schemas.openxmlformats.org/officeDocument/2006/relationships/worksheet" Id="rId21"/><Relationship Target="worksheets/sheet15.xml" Type="http://schemas.openxmlformats.org/officeDocument/2006/relationships/worksheet" Id="rId22"/><Relationship Target="worksheets/sheet16.xml" Type="http://schemas.openxmlformats.org/officeDocument/2006/relationships/worksheet" Id="rId23"/><Relationship Target="worksheets/sheet17.xml" Type="http://schemas.openxmlformats.org/officeDocument/2006/relationships/worksheet" Id="rId24"/><Relationship Target="worksheets/sheet18.xml" Type="http://schemas.openxmlformats.org/officeDocument/2006/relationships/worksheet" Id="rId25"/><Relationship Target="worksheets/sheet19.xml" Type="http://schemas.openxmlformats.org/officeDocument/2006/relationships/worksheet" Id="rId26"/><Relationship Target="worksheets/sheet20.xml" Type="http://schemas.openxmlformats.org/officeDocument/2006/relationships/worksheet" Id="rId27"/><Relationship Target="worksheets/sheet21.xml" Type="http://schemas.openxmlformats.org/officeDocument/2006/relationships/worksheet" Id="rId28"/></Relationships>
</file>

<file path=xl/drawings/_rels/drawing2.xml.rels><?xml version="1.0" encoding="UTF-8"?><Relationships xmlns="http://schemas.openxmlformats.org/package/2006/relationships"><Relationship Target="/xl/media/image1.png" Type="http://schemas.openxmlformats.org/officeDocument/2006/relationships/image" Id="rId1"/></Relationships>
</file>

<file path=xl/drawings/_rels/drawing3.xml.rels><?xml version="1.0" encoding="UTF-8"?><Relationships xmlns="http://schemas.openxmlformats.org/package/2006/relationships"><Relationship Target="/xl/media/image2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7</xdr:col>
      <xdr:colOff>9525</xdr:colOff>
      <xdr:row>0</xdr:row>
      <xdr:rowOff>371476</xdr:rowOff>
    </xdr:from>
    <xdr:to>
      <xdr:col>9</xdr:col>
      <xdr:colOff>304800</xdr:colOff>
      <xdr:row>4</xdr:row>
      <xdr:rowOff>28576</xdr:rowOff>
    </xdr:to>
    <xdr:sp macro="[0]!SelectSheets" textlink="">
      <xdr:nvSpPr>
        <xdr:cNvPr id="2" name="Rounded Rectangle 1"/>
        <xdr:cNvSpPr/>
      </xdr:nvSpPr>
      <xdr:spPr>
        <a:xfrm>
          <a:off x="9420225" y="371476"/>
          <a:ext cx="1514475" cy="6096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false" anchor="ctr"/>
        <a:lstStyle/>
        <a:p>
          <a:pPr algn="ctr"/>
          <a:r>
            <a:rPr lang="en-GB" sz="1100" b="true"/>
            <a:t>Clear up failed</a:t>
          </a:r>
          <a:r>
            <a:rPr lang="en-GB" sz="1100" b="true" baseline="0"/>
            <a:t> reviews</a:t>
          </a:r>
          <a:endParaRPr lang="en-GB" sz="1100" b="true"/>
        </a:p>
      </xdr:txBody>
    </xdr:sp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0</xdr:colOff>
      <xdr:row>4</xdr:row>
      <xdr:rowOff>0</xdr:rowOff>
    </xdr:from>
    <xdr:to>
      <xdr:col>14</xdr:col>
      <xdr:colOff>57150</xdr:colOff>
      <xdr:row>36</xdr:row>
      <xdr:rowOff>152400</xdr:rowOff>
    </xdr:to>
    <xdr:pic>
      <xdr:nvPicPr>
        <xdr:cNvPr id="2" name="Picture 1"/>
        <xdr:cNvPicPr>
          <a:picLocks noChangeAspect="true"/>
        </xdr:cNvPicPr>
      </xdr:nvPicPr>
      <xdr:blipFill>
        <a:blip r:embed="rId1"/>
        <a:srcRect/>
        <a:stretch>
          <a:fillRect/>
        </a:stretch>
      </xdr:blipFill>
      <xdr:spPr>
        <a:xfrm>
          <a:off x="685800" y="904875"/>
          <a:ext cx="1219370" cy="12193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0</xdr:colOff>
      <xdr:row>4</xdr:row>
      <xdr:rowOff>0</xdr:rowOff>
    </xdr:from>
    <xdr:to>
      <xdr:col>14</xdr:col>
      <xdr:colOff>57150</xdr:colOff>
      <xdr:row>36</xdr:row>
      <xdr:rowOff>152400</xdr:rowOff>
    </xdr:to>
    <xdr:pic>
      <xdr:nvPicPr>
        <xdr:cNvPr id="2" name="Picture 1"/>
        <xdr:cNvPicPr>
          <a:picLocks noChangeAspect="true"/>
        </xdr:cNvPicPr>
      </xdr:nvPicPr>
      <xdr:blipFill>
        <a:blip r:embed="rId1"/>
        <a:srcRect/>
        <a:stretch>
          <a:fillRect/>
        </a:stretch>
      </xdr:blipFill>
      <xdr:spPr>
        <a:xfrm>
          <a:off x="685800" y="904875"/>
          <a:ext cx="1219370" cy="12193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2"/><Relationship Target="../printerSettings/printerSettings1.bin" Type="http://schemas.openxmlformats.org/officeDocument/2006/relationships/printerSettings" Id="rId1"/></Relationships>
</file>

<file path=xl/worksheets/_rels/sheet20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_rels/sheet21.xml.rels><?xml version="1.0" encoding="UTF-8"?><Relationships xmlns="http://schemas.openxmlformats.org/package/2006/relationships"><Relationship Target="../drawings/drawing3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true" workbookViewId="0">
      <selection activeCell="A2" sqref="A2"/>
    </sheetView>
  </sheetViews>
  <sheetFormatPr defaultRowHeight="15"/>
  <cols>
    <col min="1" max="1" width="14.140625" customWidth="true"/>
    <col min="2" max="2" width="10.28515625" customWidth="true"/>
    <col min="4" max="4" width="32.42578125" customWidth="true"/>
    <col min="5" max="5" width="19.28515625" customWidth="true"/>
    <col min="6" max="6" width="27.42578125" customWidth="true"/>
    <col min="7" max="7" width="28.42578125" customWidth="true"/>
  </cols>
  <sheetData>
    <row r="1" s="1" customFormat="true" ht="30">
      <c r="A1" s="1" t="s">
        <v>0</v>
      </c>
      <c r="B1" s="1" t="s">
        <v>4</v>
      </c>
      <c r="C1" s="1" t="s">
        <v>5</v>
      </c>
      <c r="D1" s="1" t="s">
        <v>1</v>
      </c>
      <c r="E1" s="1" t="s">
        <v>2</v>
      </c>
      <c r="F1" s="1" t="s">
        <v>3</v>
      </c>
      <c r="G1" s="1" t="s">
        <v>6</v>
      </c>
    </row>
    <row r="2">
      <c r="A2" s="892">
        <f>+HYPERLINK("[test_results.xlsm]activity!A1","activity")</f>
      </c>
      <c r="B2" t="s">
        <v>307</v>
      </c>
      <c r="C2" t="s">
        <v>307</v>
      </c>
      <c r="D2" t="s">
        <v>310</v>
      </c>
      <c r="E2" t="s">
        <v>316</v>
      </c>
      <c r="F2" t="s">
        <v>320</v>
      </c>
    </row>
    <row r="3">
      <c r="A3" s="896">
        <f>+HYPERLINK("[test_results.xlsm]by_graph_test!A1","by_graph_test")</f>
      </c>
      <c r="B3" t="s">
        <v>308</v>
      </c>
      <c r="C3" t="s">
        <v>9</v>
      </c>
      <c r="D3" t="s">
        <v>311</v>
      </c>
      <c r="E3" t="s">
        <v>317</v>
      </c>
      <c r="F3" t="s">
        <v>320</v>
      </c>
    </row>
    <row r="4">
      <c r="A4" s="900">
        <f>+HYPERLINK("[test_results.xlsm]graph_test!A1","graph_test")</f>
      </c>
      <c r="B4" t="s">
        <v>308</v>
      </c>
      <c r="C4" t="s">
        <v>9</v>
      </c>
      <c r="D4" t="s">
        <v>311</v>
      </c>
      <c r="E4" t="s">
        <v>317</v>
      </c>
      <c r="F4" t="s">
        <v>320</v>
      </c>
    </row>
    <row r="5">
      <c r="A5" s="904">
        <f>+HYPERLINK("[test_results.xlsm]max_act!A1","max_act")</f>
      </c>
      <c r="B5" t="s">
        <v>307</v>
      </c>
      <c r="C5" t="s">
        <v>307</v>
      </c>
      <c r="D5" t="s">
        <v>310</v>
      </c>
      <c r="E5" t="s">
        <v>318</v>
      </c>
      <c r="F5" t="s">
        <v>320</v>
      </c>
    </row>
    <row r="6">
      <c r="A6" s="908">
        <f>+HYPERLINK("[test_results.xlsm]output_1!A1","output_1")</f>
      </c>
      <c r="B6" t="s">
        <v>307</v>
      </c>
      <c r="C6" t="s">
        <v>307</v>
      </c>
      <c r="D6" t="s">
        <v>312</v>
      </c>
      <c r="E6" t="s">
        <v>316</v>
      </c>
      <c r="F6" t="s">
        <v>320</v>
      </c>
    </row>
    <row r="7">
      <c r="A7" s="912">
        <f>+HYPERLINK("[test_results.xlsm]output_2!A1","output_2")</f>
      </c>
      <c r="B7" t="s">
        <v>307</v>
      </c>
      <c r="C7" t="s">
        <v>307</v>
      </c>
      <c r="D7" t="s">
        <v>312</v>
      </c>
      <c r="E7" t="s">
        <v>318</v>
      </c>
      <c r="F7" t="s">
        <v>320</v>
      </c>
    </row>
    <row r="8">
      <c r="A8" s="916">
        <f>+HYPERLINK("[test_results.xlsm]output_3!A1","output_3")</f>
      </c>
      <c r="B8" t="s">
        <v>309</v>
      </c>
      <c r="C8" t="s">
        <v>309</v>
      </c>
      <c r="D8" t="s">
        <v>310</v>
      </c>
      <c r="E8" t="s">
        <v>309</v>
      </c>
      <c r="F8" t="s">
        <v>320</v>
      </c>
    </row>
    <row r="9">
      <c r="A9" s="920">
        <f>+HYPERLINK("[test_results.xlsm]output_4!A1","output_4")</f>
      </c>
      <c r="B9" t="s">
        <v>308</v>
      </c>
      <c r="C9" t="s">
        <v>9</v>
      </c>
      <c r="D9" t="s">
        <v>310</v>
      </c>
      <c r="E9" t="s">
        <v>319</v>
      </c>
      <c r="F9" t="s">
        <v>321</v>
      </c>
    </row>
    <row r="10">
      <c r="A10" s="924">
        <f>+HYPERLINK("[test_results.xlsm]output_5!A1","output_5")</f>
      </c>
      <c r="B10" t="s">
        <v>307</v>
      </c>
      <c r="C10" t="s">
        <v>307</v>
      </c>
      <c r="D10" t="s">
        <v>313</v>
      </c>
      <c r="E10" t="s">
        <v>316</v>
      </c>
      <c r="F10" t="s">
        <v>9</v>
      </c>
    </row>
    <row r="11">
      <c r="A11" s="928">
        <f>+HYPERLINK("[test_results.xlsm]output_6!A1","output_6")</f>
      </c>
      <c r="B11" t="s">
        <v>307</v>
      </c>
      <c r="C11" t="s">
        <v>307</v>
      </c>
      <c r="D11" t="s">
        <v>314</v>
      </c>
      <c r="E11" t="s">
        <v>316</v>
      </c>
      <c r="F11" t="s">
        <v>9</v>
      </c>
    </row>
    <row r="12">
      <c r="A12" s="932">
        <f>+HYPERLINK("[test_results.xlsm]output_7!A1","output_7")</f>
      </c>
      <c r="B12" t="s">
        <v>307</v>
      </c>
      <c r="C12" t="s">
        <v>307</v>
      </c>
      <c r="D12" t="s">
        <v>315</v>
      </c>
      <c r="E12" t="s">
        <v>316</v>
      </c>
      <c r="F12" t="s">
        <v>9</v>
      </c>
    </row>
    <row r="13">
      <c r="A13" s="936">
        <f>+HYPERLINK("[test_results.xlsm]output_8_A!A1","output_8_A")</f>
      </c>
      <c r="B13" t="s">
        <v>307</v>
      </c>
      <c r="C13" t="s">
        <v>307</v>
      </c>
      <c r="D13" t="s">
        <v>313</v>
      </c>
      <c r="E13" t="s">
        <v>316</v>
      </c>
      <c r="F13" t="s">
        <v>9</v>
      </c>
    </row>
    <row r="14">
      <c r="A14" s="940">
        <f>+HYPERLINK("[test_results.xlsm]output_8_B!A1","output_8_B")</f>
      </c>
      <c r="B14" t="s">
        <v>307</v>
      </c>
      <c r="C14" t="s">
        <v>307</v>
      </c>
      <c r="D14" t="s">
        <v>313</v>
      </c>
      <c r="E14" t="s">
        <v>316</v>
      </c>
      <c r="F14" t="s">
        <v>9</v>
      </c>
    </row>
    <row r="15">
      <c r="A15" s="944">
        <f>+HYPERLINK("[test_results.xlsm]output_8_C!A1","output_8_C")</f>
      </c>
      <c r="B15" t="s">
        <v>307</v>
      </c>
      <c r="C15" t="s">
        <v>307</v>
      </c>
      <c r="D15" t="s">
        <v>313</v>
      </c>
      <c r="E15" t="s">
        <v>316</v>
      </c>
      <c r="F15" t="s">
        <v>9</v>
      </c>
    </row>
    <row r="16">
      <c r="A16" s="948">
        <f>+HYPERLINK("[test_results.xlsm]output_8_D!A1","output_8_D")</f>
      </c>
      <c r="B16" t="s">
        <v>307</v>
      </c>
      <c r="C16" t="s">
        <v>307</v>
      </c>
      <c r="D16" t="s">
        <v>313</v>
      </c>
      <c r="E16" t="s">
        <v>316</v>
      </c>
      <c r="F16" t="s">
        <v>9</v>
      </c>
    </row>
    <row r="17">
      <c r="A17" s="952">
        <f>+HYPERLINK("[test_results.xlsm]output_9_A!A1","output_9_A")</f>
      </c>
      <c r="B17" t="s">
        <v>309</v>
      </c>
      <c r="C17" t="s">
        <v>309</v>
      </c>
      <c r="D17" t="s">
        <v>313</v>
      </c>
      <c r="E17" t="s">
        <v>309</v>
      </c>
      <c r="F17" t="s">
        <v>9</v>
      </c>
    </row>
    <row r="18">
      <c r="A18" s="956">
        <f>+HYPERLINK("[test_results.xlsm]output_9_B!A1","output_9_B")</f>
      </c>
      <c r="B18" t="s">
        <v>307</v>
      </c>
      <c r="C18" t="s">
        <v>307</v>
      </c>
      <c r="D18" t="s">
        <v>313</v>
      </c>
      <c r="E18" t="s">
        <v>316</v>
      </c>
      <c r="F18" t="s">
        <v>9</v>
      </c>
    </row>
    <row r="19">
      <c r="A19" s="960">
        <f>+HYPERLINK("[test_results.xlsm]output_9_C!A1","output_9_C")</f>
      </c>
      <c r="B19" t="s">
        <v>307</v>
      </c>
      <c r="C19" t="s">
        <v>307</v>
      </c>
      <c r="D19" t="s">
        <v>313</v>
      </c>
      <c r="E19" t="s">
        <v>316</v>
      </c>
      <c r="F19" t="s">
        <v>9</v>
      </c>
    </row>
    <row r="20">
      <c r="A20" s="964">
        <f>+HYPERLINK("[test_results.xlsm]output_9_D!A1","output_9_D")</f>
      </c>
      <c r="B20" t="s">
        <v>309</v>
      </c>
      <c r="C20" t="s">
        <v>309</v>
      </c>
      <c r="D20" t="s">
        <v>313</v>
      </c>
      <c r="E20" t="s">
        <v>309</v>
      </c>
      <c r="F20" t="s">
        <v>9</v>
      </c>
    </row>
    <row r="21">
      <c r="A21" s="968">
        <f>+HYPERLINK("[test_results.xlsm]small_act!A1","small_act")</f>
      </c>
      <c r="B21" t="s">
        <v>308</v>
      </c>
      <c r="C21" t="s">
        <v>9</v>
      </c>
      <c r="D21" t="s">
        <v>310</v>
      </c>
      <c r="E21" t="s">
        <v>319</v>
      </c>
      <c r="F21" t="s">
        <v>322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H24"/>
  <sheetFormatPr defaultRowHeight="15"/>
  <sheetData>
    <row r="1">
      <c r="A1" t="s">
        <v>7</v>
      </c>
    </row>
    <row r="2">
      <c r="A2" t="s">
        <v>8</v>
      </c>
    </row>
    <row r="3">
      <c r="A3" s="5">
        <f>+HYPERLINK("[test_results.xlsm]description!A1","Back to description page")</f>
      </c>
    </row>
    <row r="4">
      <c r="A4" t="s">
        <v>10</v>
      </c>
      <c r="B4" t="s">
        <v>11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</row>
    <row r="5">
      <c r="A5" s="0">
        <v>2014</v>
      </c>
      <c r="B5" t="s">
        <v>12</v>
      </c>
      <c r="C5" s="0">
        <v>50</v>
      </c>
      <c r="D5" s="0">
        <v>46</v>
      </c>
      <c r="E5" s="0">
        <v>1701519.125</v>
      </c>
      <c r="F5" s="0">
        <v>46</v>
      </c>
      <c r="G5" s="0">
        <v>672290.8125</v>
      </c>
      <c r="H5" t="s">
        <v>9</v>
      </c>
    </row>
    <row r="6">
      <c r="A6" s="0">
        <v>2014</v>
      </c>
      <c r="B6" t="s">
        <v>13</v>
      </c>
      <c r="C6" s="0">
        <v>103</v>
      </c>
      <c r="D6" s="0">
        <v>103</v>
      </c>
      <c r="E6" s="0">
        <v>51898800</v>
      </c>
      <c r="F6" s="0">
        <v>103</v>
      </c>
      <c r="G6" s="0">
        <v>16654627</v>
      </c>
      <c r="H6" t="s">
        <v>9</v>
      </c>
    </row>
    <row r="7">
      <c r="A7" s="0">
        <v>2015</v>
      </c>
      <c r="B7" t="s">
        <v>12</v>
      </c>
      <c r="C7" s="0">
        <v>50</v>
      </c>
      <c r="D7" s="0">
        <v>31</v>
      </c>
      <c r="E7" s="0">
        <v>1515564.625</v>
      </c>
      <c r="F7" s="0">
        <v>31</v>
      </c>
      <c r="G7" s="0">
        <v>485240.15625</v>
      </c>
      <c r="H7" t="s">
        <v>9</v>
      </c>
    </row>
    <row r="8">
      <c r="A8" s="0">
        <v>2015</v>
      </c>
      <c r="B8" t="s">
        <v>13</v>
      </c>
      <c r="C8" s="0">
        <v>103</v>
      </c>
      <c r="D8" s="0">
        <v>98</v>
      </c>
      <c r="E8" s="0">
        <v>55123052</v>
      </c>
      <c r="F8" s="0">
        <v>98</v>
      </c>
      <c r="G8" s="0">
        <v>16599920</v>
      </c>
      <c r="H8" t="s">
        <v>9</v>
      </c>
    </row>
    <row r="11">
      <c r="A11" s="6" t="s">
        <v>20</v>
      </c>
    </row>
    <row r="12">
      <c r="A12" s="7" t="s">
        <v>21</v>
      </c>
    </row>
    <row r="13">
      <c r="A13" s="8" t="s">
        <v>22</v>
      </c>
    </row>
    <row r="14">
      <c r="A14" s="9" t="s">
        <v>23</v>
      </c>
    </row>
    <row r="15">
      <c r="A15" s="10" t="s">
        <v>24</v>
      </c>
    </row>
    <row r="16">
      <c r="A16" s="11" t="s">
        <v>25</v>
      </c>
    </row>
    <row r="17">
      <c r="A17" s="12" t="s">
        <v>26</v>
      </c>
    </row>
    <row r="18">
      <c r="A18" s="13" t="s">
        <v>27</v>
      </c>
    </row>
    <row r="19">
      <c r="A19" s="14" t="s">
        <v>28</v>
      </c>
    </row>
    <row r="20">
      <c r="A20" s="15" t="s">
        <v>29</v>
      </c>
    </row>
    <row r="21">
      <c r="A21" s="16" t="s">
        <v>30</v>
      </c>
    </row>
    <row r="22">
      <c r="A22" s="17" t="s">
        <v>31</v>
      </c>
    </row>
    <row r="23">
      <c r="A23" s="18" t="s">
        <v>21</v>
      </c>
    </row>
    <row r="24">
      <c r="A24" s="19"/>
    </row>
  </sheetData>
</worksheet>
</file>

<file path=xl/worksheets/sheet3.xml><?xml version="1.0" encoding="utf-8"?>
<worksheet xmlns="http://schemas.openxmlformats.org/spreadsheetml/2006/main" xmlns:r="http://schemas.openxmlformats.org/officeDocument/2006/relationships">
  <dimension ref="A1:H8"/>
  <sheetFormatPr defaultRowHeight="15"/>
  <sheetData>
    <row r="1">
      <c r="A1" t="s">
        <v>32</v>
      </c>
    </row>
    <row r="2">
      <c r="A2" t="s">
        <v>33</v>
      </c>
    </row>
    <row r="3">
      <c r="A3" s="23">
        <f>+HYPERLINK("[test_results.xlsm]description!A1","Back to description page")</f>
      </c>
    </row>
    <row r="4">
      <c r="A4" t="s">
        <v>10</v>
      </c>
      <c r="B4" t="s">
        <v>11</v>
      </c>
      <c r="C4" t="s">
        <v>14</v>
      </c>
      <c r="D4" t="s">
        <v>15</v>
      </c>
      <c r="E4" t="s">
        <v>34</v>
      </c>
      <c r="F4" t="s">
        <v>17</v>
      </c>
      <c r="G4" t="s">
        <v>18</v>
      </c>
      <c r="H4" t="s">
        <v>19</v>
      </c>
    </row>
    <row r="5">
      <c r="A5" s="0">
        <v>2014</v>
      </c>
      <c r="B5" t="s">
        <v>12</v>
      </c>
      <c r="C5" s="0">
        <v>50</v>
      </c>
      <c r="D5" s="0">
        <v>46</v>
      </c>
      <c r="E5" s="0"/>
      <c r="F5" s="0">
        <v>46</v>
      </c>
      <c r="G5" s="0">
        <v>672290.8125</v>
      </c>
      <c r="H5" t="s">
        <v>35</v>
      </c>
    </row>
    <row r="6">
      <c r="A6" s="0">
        <v>2014</v>
      </c>
      <c r="B6" t="s">
        <v>13</v>
      </c>
      <c r="C6" s="0">
        <v>103</v>
      </c>
      <c r="D6" s="0">
        <v>103</v>
      </c>
      <c r="E6" s="0"/>
      <c r="F6" s="0">
        <v>103</v>
      </c>
      <c r="G6" s="0">
        <v>16654627</v>
      </c>
      <c r="H6" t="s">
        <v>35</v>
      </c>
    </row>
    <row r="7">
      <c r="A7" s="0">
        <v>2015</v>
      </c>
      <c r="B7" t="s">
        <v>12</v>
      </c>
      <c r="C7" s="0">
        <v>50</v>
      </c>
      <c r="D7" s="0">
        <v>31</v>
      </c>
      <c r="E7" s="0"/>
      <c r="F7" s="0">
        <v>31</v>
      </c>
      <c r="G7" s="0">
        <v>485240.15625</v>
      </c>
      <c r="H7" t="s">
        <v>35</v>
      </c>
    </row>
    <row r="8">
      <c r="A8" s="0">
        <v>2015</v>
      </c>
      <c r="B8" t="s">
        <v>13</v>
      </c>
      <c r="C8" s="0">
        <v>103</v>
      </c>
      <c r="D8" s="0">
        <v>98</v>
      </c>
      <c r="E8" s="0"/>
      <c r="F8" s="0">
        <v>98</v>
      </c>
      <c r="G8" s="0">
        <v>16599920</v>
      </c>
      <c r="H8" t="s">
        <v>35</v>
      </c>
    </row>
  </sheetData>
</worksheet>
</file>

<file path=xl/worksheets/sheet4.xml><?xml version="1.0" encoding="utf-8"?>
<worksheet xmlns="http://schemas.openxmlformats.org/spreadsheetml/2006/main" xmlns:r="http://schemas.openxmlformats.org/officeDocument/2006/relationships">
  <dimension ref="A1:I76"/>
  <sheetFormatPr defaultRowHeight="15"/>
  <sheetData>
    <row r="1">
      <c r="A1" t="s">
        <v>36</v>
      </c>
    </row>
    <row r="2">
      <c r="A2" t="s">
        <v>37</v>
      </c>
    </row>
    <row r="3">
      <c r="A3" s="27">
        <f>+HYPERLINK("[test_results.xlsm]description!A1","Back to description page")</f>
      </c>
    </row>
    <row r="4">
      <c r="A4" t="s">
        <v>38</v>
      </c>
      <c r="B4" t="s">
        <v>10</v>
      </c>
      <c r="C4" t="s">
        <v>11</v>
      </c>
      <c r="D4" t="s">
        <v>14</v>
      </c>
      <c r="E4" t="s">
        <v>15</v>
      </c>
      <c r="F4" t="s">
        <v>34</v>
      </c>
      <c r="G4" t="s">
        <v>17</v>
      </c>
      <c r="H4" t="s">
        <v>18</v>
      </c>
      <c r="I4" t="s">
        <v>19</v>
      </c>
    </row>
    <row r="5">
      <c r="A5" t="s">
        <v>39</v>
      </c>
      <c r="B5" s="0">
        <v>2014</v>
      </c>
      <c r="C5" t="s">
        <v>13</v>
      </c>
      <c r="D5" s="0">
        <v>8</v>
      </c>
      <c r="E5" s="0">
        <v>8</v>
      </c>
      <c r="F5" s="0">
        <v>49296000</v>
      </c>
      <c r="G5" s="0">
        <v>8</v>
      </c>
      <c r="H5" s="0">
        <v>13285875</v>
      </c>
      <c r="I5" t="s">
        <v>43</v>
      </c>
    </row>
    <row r="6">
      <c r="A6" t="s">
        <v>39</v>
      </c>
      <c r="B6" s="0">
        <v>2015</v>
      </c>
      <c r="C6" t="s">
        <v>13</v>
      </c>
      <c r="D6" s="0">
        <v>8</v>
      </c>
      <c r="E6" s="0">
        <v>8</v>
      </c>
      <c r="F6" s="0">
        <v>54592000</v>
      </c>
      <c r="G6" s="0">
        <v>8</v>
      </c>
      <c r="H6" s="0">
        <v>13153000</v>
      </c>
      <c r="I6" t="s">
        <v>43</v>
      </c>
    </row>
    <row r="7">
      <c r="A7" t="s">
        <v>40</v>
      </c>
      <c r="B7" s="0">
        <v>2014</v>
      </c>
      <c r="C7" t="s">
        <v>12</v>
      </c>
      <c r="D7" s="0">
        <v>47</v>
      </c>
      <c r="E7" s="0">
        <v>43</v>
      </c>
      <c r="F7" s="0">
        <v>7366028</v>
      </c>
      <c r="G7" s="0">
        <v>43</v>
      </c>
      <c r="H7" s="0">
        <v>715004.3125</v>
      </c>
      <c r="I7" t="s">
        <v>35</v>
      </c>
    </row>
    <row r="8">
      <c r="A8" t="s">
        <v>40</v>
      </c>
      <c r="B8" s="0">
        <v>2014</v>
      </c>
      <c r="C8" t="s">
        <v>13</v>
      </c>
      <c r="D8" s="0">
        <v>24</v>
      </c>
      <c r="E8" s="0">
        <v>24</v>
      </c>
      <c r="F8" s="0">
        <v>393108992</v>
      </c>
      <c r="G8" s="0">
        <v>24</v>
      </c>
      <c r="H8" s="0">
        <v>43127864</v>
      </c>
      <c r="I8" t="s">
        <v>35</v>
      </c>
    </row>
    <row r="9">
      <c r="A9" t="s">
        <v>40</v>
      </c>
      <c r="B9" s="0">
        <v>2015</v>
      </c>
      <c r="C9" t="s">
        <v>12</v>
      </c>
      <c r="D9" s="0">
        <v>47</v>
      </c>
      <c r="E9" s="0">
        <v>28</v>
      </c>
      <c r="F9" s="0">
        <v>7199403</v>
      </c>
      <c r="G9" s="0">
        <v>28</v>
      </c>
      <c r="H9" s="0">
        <v>531717.25</v>
      </c>
      <c r="I9" t="s">
        <v>35</v>
      </c>
    </row>
    <row r="10">
      <c r="A10" t="s">
        <v>40</v>
      </c>
      <c r="B10" s="0">
        <v>2015</v>
      </c>
      <c r="C10" t="s">
        <v>13</v>
      </c>
      <c r="D10" s="0">
        <v>24</v>
      </c>
      <c r="E10" s="0">
        <v>23</v>
      </c>
      <c r="F10" s="0">
        <v>421265984</v>
      </c>
      <c r="G10" s="0">
        <v>23</v>
      </c>
      <c r="H10" s="0">
        <v>43184756</v>
      </c>
      <c r="I10" t="s">
        <v>35</v>
      </c>
    </row>
    <row r="11">
      <c r="A11" t="s">
        <v>41</v>
      </c>
      <c r="B11" s="0">
        <v>2014</v>
      </c>
      <c r="C11" t="s">
        <v>13</v>
      </c>
      <c r="D11" s="0">
        <v>59</v>
      </c>
      <c r="E11" s="0">
        <v>59</v>
      </c>
      <c r="F11" s="0">
        <v>37208000</v>
      </c>
      <c r="G11" s="0">
        <v>59</v>
      </c>
      <c r="H11" s="0">
        <v>1262485.75</v>
      </c>
      <c r="I11" t="s">
        <v>35</v>
      </c>
    </row>
    <row r="12">
      <c r="A12" t="s">
        <v>41</v>
      </c>
      <c r="B12" s="0">
        <v>2015</v>
      </c>
      <c r="C12" t="s">
        <v>13</v>
      </c>
      <c r="D12" s="0">
        <v>59</v>
      </c>
      <c r="E12" s="0">
        <v>58</v>
      </c>
      <c r="F12" s="0">
        <v>35471000</v>
      </c>
      <c r="G12" s="0">
        <v>58</v>
      </c>
      <c r="H12" s="0">
        <v>968195.75</v>
      </c>
      <c r="I12" t="s">
        <v>35</v>
      </c>
    </row>
    <row r="13">
      <c r="A13" t="s">
        <v>42</v>
      </c>
      <c r="B13" s="0">
        <v>2014</v>
      </c>
      <c r="C13" t="s">
        <v>12</v>
      </c>
      <c r="D13" s="0">
        <v>3</v>
      </c>
      <c r="E13" s="0">
        <v>3</v>
      </c>
      <c r="F13" s="0">
        <v>137000</v>
      </c>
      <c r="G13" s="0">
        <v>3</v>
      </c>
      <c r="H13" s="0">
        <v>60063.33203125</v>
      </c>
      <c r="I13" t="s">
        <v>43</v>
      </c>
    </row>
    <row r="14">
      <c r="A14" t="s">
        <v>42</v>
      </c>
      <c r="B14" s="0">
        <v>2014</v>
      </c>
      <c r="C14" t="s">
        <v>13</v>
      </c>
      <c r="D14" s="0">
        <v>12</v>
      </c>
      <c r="E14" s="0">
        <v>12</v>
      </c>
      <c r="F14" s="0">
        <v>168500000</v>
      </c>
      <c r="G14" s="0">
        <v>12</v>
      </c>
      <c r="H14" s="0">
        <v>41632016</v>
      </c>
      <c r="I14" t="s">
        <v>35</v>
      </c>
    </row>
    <row r="15">
      <c r="A15" t="s">
        <v>42</v>
      </c>
      <c r="B15" s="0">
        <v>2015</v>
      </c>
      <c r="C15" t="s">
        <v>12</v>
      </c>
      <c r="D15" s="0">
        <v>3</v>
      </c>
      <c r="E15" s="0">
        <v>3</v>
      </c>
      <c r="F15" s="0">
        <v>115000</v>
      </c>
      <c r="G15" s="0">
        <v>3</v>
      </c>
      <c r="H15" s="0">
        <v>51454</v>
      </c>
      <c r="I15" t="s">
        <v>43</v>
      </c>
    </row>
    <row r="16">
      <c r="A16" t="s">
        <v>42</v>
      </c>
      <c r="B16" s="0">
        <v>2015</v>
      </c>
      <c r="C16" t="s">
        <v>13</v>
      </c>
      <c r="D16" s="0">
        <v>12</v>
      </c>
      <c r="E16" s="0">
        <v>9</v>
      </c>
      <c r="F16" s="0">
        <v>170200000</v>
      </c>
      <c r="G16" s="0">
        <v>9</v>
      </c>
      <c r="H16" s="0">
        <v>52462600</v>
      </c>
      <c r="I16" t="s">
        <v>43</v>
      </c>
    </row>
    <row r="19">
      <c r="A19" s="28" t="s">
        <v>20</v>
      </c>
    </row>
    <row r="20">
      <c r="A20" s="29" t="s">
        <v>44</v>
      </c>
    </row>
    <row r="21">
      <c r="A21" s="30" t="s">
        <v>45</v>
      </c>
    </row>
    <row r="22">
      <c r="A22" s="31" t="s">
        <v>21</v>
      </c>
    </row>
    <row r="23">
      <c r="A23" s="32" t="s">
        <v>22</v>
      </c>
    </row>
    <row r="24">
      <c r="A24" s="33" t="s">
        <v>23</v>
      </c>
    </row>
    <row r="25">
      <c r="A25" s="34" t="s">
        <v>24</v>
      </c>
    </row>
    <row r="26">
      <c r="A26" s="35" t="s">
        <v>46</v>
      </c>
    </row>
    <row r="27">
      <c r="A27" s="36" t="s">
        <v>47</v>
      </c>
    </row>
    <row r="28">
      <c r="A28" s="37" t="s">
        <v>48</v>
      </c>
    </row>
    <row r="29">
      <c r="A29" s="38" t="s">
        <v>28</v>
      </c>
    </row>
    <row r="30">
      <c r="A30" s="39" t="s">
        <v>49</v>
      </c>
    </row>
    <row r="31">
      <c r="A31" s="40" t="s">
        <v>50</v>
      </c>
    </row>
    <row r="32">
      <c r="A32" s="41" t="s">
        <v>51</v>
      </c>
    </row>
    <row r="33">
      <c r="A33" s="42" t="s">
        <v>21</v>
      </c>
    </row>
    <row r="34">
      <c r="A34" s="43" t="s">
        <v>44</v>
      </c>
    </row>
    <row r="35">
      <c r="A35" s="44" t="s">
        <v>52</v>
      </c>
    </row>
    <row r="36">
      <c r="A36" s="45" t="s">
        <v>53</v>
      </c>
    </row>
    <row r="37">
      <c r="A37" s="46" t="s">
        <v>54</v>
      </c>
    </row>
    <row r="38">
      <c r="A38" s="47" t="s">
        <v>55</v>
      </c>
    </row>
    <row r="39">
      <c r="A39" s="48" t="s">
        <v>56</v>
      </c>
    </row>
    <row r="40">
      <c r="A40" s="49" t="s">
        <v>57</v>
      </c>
    </row>
    <row r="41">
      <c r="A41" s="50" t="s">
        <v>58</v>
      </c>
    </row>
    <row r="42">
      <c r="A42" s="51" t="s">
        <v>59</v>
      </c>
    </row>
    <row r="43">
      <c r="A43" s="52" t="s">
        <v>28</v>
      </c>
    </row>
    <row r="44">
      <c r="A44" s="53" t="s">
        <v>60</v>
      </c>
    </row>
    <row r="45">
      <c r="A45" s="54" t="s">
        <v>61</v>
      </c>
    </row>
    <row r="46">
      <c r="A46" s="55" t="s">
        <v>62</v>
      </c>
    </row>
    <row r="47">
      <c r="A47" s="56" t="s">
        <v>53</v>
      </c>
    </row>
    <row r="48">
      <c r="A48" s="57" t="s">
        <v>44</v>
      </c>
    </row>
    <row r="49">
      <c r="A49" s="58" t="s">
        <v>63</v>
      </c>
    </row>
    <row r="50">
      <c r="A50" s="59" t="s">
        <v>21</v>
      </c>
    </row>
    <row r="51">
      <c r="A51" s="60" t="s">
        <v>22</v>
      </c>
    </row>
    <row r="52">
      <c r="A52" s="61" t="s">
        <v>23</v>
      </c>
    </row>
    <row r="53">
      <c r="A53" s="62" t="s">
        <v>24</v>
      </c>
    </row>
    <row r="54">
      <c r="A54" s="63" t="s">
        <v>64</v>
      </c>
    </row>
    <row r="55">
      <c r="A55" s="64" t="s">
        <v>65</v>
      </c>
    </row>
    <row r="56">
      <c r="A56" s="65" t="s">
        <v>66</v>
      </c>
    </row>
    <row r="57">
      <c r="A57" s="66" t="s">
        <v>28</v>
      </c>
    </row>
    <row r="58">
      <c r="A58" s="67" t="s">
        <v>67</v>
      </c>
    </row>
    <row r="59">
      <c r="A59" s="68" t="s">
        <v>68</v>
      </c>
    </row>
    <row r="60">
      <c r="A60" s="69" t="s">
        <v>69</v>
      </c>
    </row>
    <row r="61">
      <c r="A61" s="70" t="s">
        <v>21</v>
      </c>
    </row>
    <row r="62">
      <c r="A62" s="71" t="s">
        <v>44</v>
      </c>
    </row>
    <row r="63">
      <c r="A63" s="72" t="s">
        <v>70</v>
      </c>
    </row>
    <row r="64">
      <c r="A64" s="73" t="s">
        <v>53</v>
      </c>
    </row>
    <row r="65">
      <c r="A65" s="74" t="s">
        <v>54</v>
      </c>
    </row>
    <row r="66">
      <c r="A66" s="75" t="s">
        <v>55</v>
      </c>
    </row>
    <row r="67">
      <c r="A67" s="76" t="s">
        <v>56</v>
      </c>
    </row>
    <row r="68">
      <c r="A68" s="77" t="s">
        <v>71</v>
      </c>
    </row>
    <row r="69">
      <c r="A69" s="78" t="s">
        <v>72</v>
      </c>
    </row>
    <row r="70">
      <c r="A70" s="79" t="s">
        <v>73</v>
      </c>
    </row>
    <row r="71">
      <c r="A71" s="80" t="s">
        <v>28</v>
      </c>
    </row>
    <row r="72">
      <c r="A72" s="81" t="s">
        <v>74</v>
      </c>
    </row>
    <row r="73">
      <c r="A73" s="82" t="s">
        <v>75</v>
      </c>
    </row>
    <row r="74">
      <c r="A74" s="83" t="s">
        <v>76</v>
      </c>
    </row>
    <row r="75">
      <c r="A75" s="84" t="s">
        <v>53</v>
      </c>
    </row>
    <row r="76">
      <c r="A76" s="85"/>
    </row>
  </sheetData>
</worksheet>
</file>

<file path=xl/worksheets/sheet5.xml><?xml version="1.0" encoding="utf-8"?>
<worksheet xmlns="http://schemas.openxmlformats.org/spreadsheetml/2006/main" xmlns:r="http://schemas.openxmlformats.org/officeDocument/2006/relationships">
  <dimension ref="A1:D50"/>
  <sheetFormatPr defaultRowHeight="15"/>
  <sheetData>
    <row r="1">
      <c r="A1" t="s">
        <v>77</v>
      </c>
    </row>
    <row r="2">
      <c r="A2" t="s">
        <v>8</v>
      </c>
    </row>
    <row r="3">
      <c r="A3" s="89">
        <f>+HYPERLINK("[test_results.xlsm]description!A1","Back to description page")</f>
      </c>
    </row>
    <row r="4">
      <c r="A4" t="s">
        <v>10</v>
      </c>
      <c r="B4" t="s">
        <v>11</v>
      </c>
      <c r="C4" t="s">
        <v>14</v>
      </c>
      <c r="D4" t="s">
        <v>19</v>
      </c>
    </row>
    <row r="5">
      <c r="A5" s="0">
        <v>2010</v>
      </c>
      <c r="B5" t="s">
        <v>12</v>
      </c>
      <c r="C5" s="0">
        <v>50</v>
      </c>
      <c r="D5" t="s">
        <v>9</v>
      </c>
    </row>
    <row r="6">
      <c r="A6" s="0">
        <v>2010</v>
      </c>
      <c r="B6" t="s">
        <v>13</v>
      </c>
      <c r="C6" s="0">
        <v>103</v>
      </c>
      <c r="D6" t="s">
        <v>9</v>
      </c>
    </row>
    <row r="7">
      <c r="A7" s="0">
        <v>2011</v>
      </c>
      <c r="B7" t="s">
        <v>12</v>
      </c>
      <c r="C7" s="0">
        <v>50</v>
      </c>
      <c r="D7" t="s">
        <v>9</v>
      </c>
    </row>
    <row r="8">
      <c r="A8" s="0">
        <v>2011</v>
      </c>
      <c r="B8" t="s">
        <v>13</v>
      </c>
      <c r="C8" s="0">
        <v>103</v>
      </c>
      <c r="D8" t="s">
        <v>9</v>
      </c>
    </row>
    <row r="9">
      <c r="A9" s="0">
        <v>2012</v>
      </c>
      <c r="B9" t="s">
        <v>12</v>
      </c>
      <c r="C9" s="0">
        <v>50</v>
      </c>
      <c r="D9" t="s">
        <v>9</v>
      </c>
    </row>
    <row r="10">
      <c r="A10" s="0">
        <v>2012</v>
      </c>
      <c r="B10" t="s">
        <v>13</v>
      </c>
      <c r="C10" s="0">
        <v>103</v>
      </c>
      <c r="D10" t="s">
        <v>9</v>
      </c>
    </row>
    <row r="11">
      <c r="A11" s="0">
        <v>2013</v>
      </c>
      <c r="B11" t="s">
        <v>12</v>
      </c>
      <c r="C11" s="0">
        <v>50</v>
      </c>
      <c r="D11" t="s">
        <v>9</v>
      </c>
    </row>
    <row r="12">
      <c r="A12" s="0">
        <v>2013</v>
      </c>
      <c r="B12" t="s">
        <v>13</v>
      </c>
      <c r="C12" s="0">
        <v>103</v>
      </c>
      <c r="D12" t="s">
        <v>9</v>
      </c>
    </row>
    <row r="13">
      <c r="A13" s="0">
        <v>2014</v>
      </c>
      <c r="B13" t="s">
        <v>12</v>
      </c>
      <c r="C13" s="0">
        <v>50</v>
      </c>
      <c r="D13" t="s">
        <v>9</v>
      </c>
    </row>
    <row r="14">
      <c r="A14" s="0">
        <v>2014</v>
      </c>
      <c r="B14" t="s">
        <v>13</v>
      </c>
      <c r="C14" s="0">
        <v>103</v>
      </c>
      <c r="D14" t="s">
        <v>9</v>
      </c>
    </row>
    <row r="15">
      <c r="A15" s="0">
        <v>2015</v>
      </c>
      <c r="B15" t="s">
        <v>12</v>
      </c>
      <c r="C15" s="0">
        <v>50</v>
      </c>
      <c r="D15" t="s">
        <v>9</v>
      </c>
    </row>
    <row r="16">
      <c r="A16" s="0">
        <v>2015</v>
      </c>
      <c r="B16" t="s">
        <v>13</v>
      </c>
      <c r="C16" s="0">
        <v>103</v>
      </c>
      <c r="D16" t="s">
        <v>9</v>
      </c>
    </row>
    <row r="19">
      <c r="A19" s="90" t="s">
        <v>20</v>
      </c>
    </row>
    <row r="20">
      <c r="A20" s="91" t="s">
        <v>78</v>
      </c>
    </row>
    <row r="21">
      <c r="A21" s="92" t="s">
        <v>79</v>
      </c>
    </row>
    <row r="22">
      <c r="A22" s="93" t="s">
        <v>80</v>
      </c>
    </row>
    <row r="23">
      <c r="A23" s="94" t="s">
        <v>81</v>
      </c>
    </row>
    <row r="24">
      <c r="A24" s="95" t="s">
        <v>82</v>
      </c>
    </row>
    <row r="25">
      <c r="A25" s="96" t="s">
        <v>78</v>
      </c>
    </row>
    <row r="26">
      <c r="A26" s="97" t="s">
        <v>83</v>
      </c>
    </row>
    <row r="27">
      <c r="A27" s="98" t="s">
        <v>84</v>
      </c>
    </row>
    <row r="28">
      <c r="A28" s="99" t="s">
        <v>85</v>
      </c>
    </row>
    <row r="29">
      <c r="A29" s="100" t="s">
        <v>86</v>
      </c>
    </row>
    <row r="30">
      <c r="A30" s="101" t="s">
        <v>87</v>
      </c>
    </row>
    <row r="31">
      <c r="A31" s="102" t="s">
        <v>85</v>
      </c>
    </row>
    <row r="32">
      <c r="A32" s="103" t="s">
        <v>88</v>
      </c>
    </row>
    <row r="33">
      <c r="A33" s="104" t="s">
        <v>87</v>
      </c>
    </row>
    <row r="34">
      <c r="A34" s="105" t="s">
        <v>85</v>
      </c>
    </row>
    <row r="35">
      <c r="A35" s="106" t="s">
        <v>89</v>
      </c>
    </row>
    <row r="36">
      <c r="A36" s="107" t="s">
        <v>87</v>
      </c>
    </row>
    <row r="37">
      <c r="A37" s="108" t="s">
        <v>85</v>
      </c>
    </row>
    <row r="38">
      <c r="A38" s="109" t="s">
        <v>90</v>
      </c>
    </row>
    <row r="39">
      <c r="A39" s="110" t="s">
        <v>87</v>
      </c>
    </row>
    <row r="40">
      <c r="A40" s="111" t="s">
        <v>85</v>
      </c>
    </row>
    <row r="41">
      <c r="A41" s="112" t="s">
        <v>91</v>
      </c>
    </row>
    <row r="42">
      <c r="A42" s="113" t="s">
        <v>87</v>
      </c>
    </row>
    <row r="43">
      <c r="A43" s="114" t="s">
        <v>85</v>
      </c>
    </row>
    <row r="44">
      <c r="A44" s="115" t="s">
        <v>92</v>
      </c>
    </row>
    <row r="45">
      <c r="A45" s="116" t="s">
        <v>87</v>
      </c>
    </row>
    <row r="46">
      <c r="A46" s="117" t="s">
        <v>85</v>
      </c>
    </row>
    <row r="47">
      <c r="A47" s="118" t="s">
        <v>93</v>
      </c>
    </row>
    <row r="48">
      <c r="A48" s="119" t="s">
        <v>94</v>
      </c>
    </row>
    <row r="49">
      <c r="A49" s="120" t="s">
        <v>95</v>
      </c>
    </row>
    <row r="50">
      <c r="A50" s="121"/>
    </row>
  </sheetData>
</worksheet>
</file>

<file path=xl/worksheets/sheet6.xml><?xml version="1.0" encoding="utf-8"?>
<worksheet xmlns="http://schemas.openxmlformats.org/spreadsheetml/2006/main" xmlns:r="http://schemas.openxmlformats.org/officeDocument/2006/relationships">
  <dimension ref="A1:E40"/>
  <sheetFormatPr defaultRowHeight="15"/>
  <sheetData>
    <row r="1">
      <c r="A1" t="s">
        <v>96</v>
      </c>
    </row>
    <row r="2">
      <c r="A2" t="s">
        <v>33</v>
      </c>
    </row>
    <row r="3">
      <c r="A3" s="125">
        <f>+HYPERLINK("[test_results.xlsm]description!A1","Back to description page")</f>
      </c>
    </row>
    <row r="4">
      <c r="A4" t="s">
        <v>38</v>
      </c>
      <c r="B4" t="s">
        <v>10</v>
      </c>
      <c r="C4" t="s">
        <v>11</v>
      </c>
      <c r="D4" t="s">
        <v>14</v>
      </c>
      <c r="E4" t="s">
        <v>19</v>
      </c>
    </row>
    <row r="5">
      <c r="A5" t="s">
        <v>39</v>
      </c>
      <c r="B5" s="0">
        <v>2010</v>
      </c>
      <c r="C5" t="s">
        <v>13</v>
      </c>
      <c r="D5" s="0"/>
      <c r="E5" t="s">
        <v>97</v>
      </c>
    </row>
    <row r="6">
      <c r="A6" t="s">
        <v>39</v>
      </c>
      <c r="B6" s="0">
        <v>2011</v>
      </c>
      <c r="C6" t="s">
        <v>13</v>
      </c>
      <c r="D6" s="0"/>
      <c r="E6" t="s">
        <v>97</v>
      </c>
    </row>
    <row r="7">
      <c r="A7" t="s">
        <v>39</v>
      </c>
      <c r="B7" s="0">
        <v>2012</v>
      </c>
      <c r="C7" t="s">
        <v>13</v>
      </c>
      <c r="D7" s="0"/>
      <c r="E7" t="s">
        <v>97</v>
      </c>
    </row>
    <row r="8">
      <c r="A8" t="s">
        <v>39</v>
      </c>
      <c r="B8" s="0">
        <v>2013</v>
      </c>
      <c r="C8" t="s">
        <v>13</v>
      </c>
      <c r="D8" s="0"/>
      <c r="E8" t="s">
        <v>97</v>
      </c>
    </row>
    <row r="9">
      <c r="A9" t="s">
        <v>39</v>
      </c>
      <c r="B9" s="0">
        <v>2014</v>
      </c>
      <c r="C9" t="s">
        <v>13</v>
      </c>
      <c r="D9" s="0"/>
      <c r="E9" t="s">
        <v>97</v>
      </c>
    </row>
    <row r="10">
      <c r="A10" t="s">
        <v>39</v>
      </c>
      <c r="B10" s="0">
        <v>2015</v>
      </c>
      <c r="C10" t="s">
        <v>13</v>
      </c>
      <c r="D10" s="0"/>
      <c r="E10" t="s">
        <v>97</v>
      </c>
    </row>
    <row r="11">
      <c r="A11" t="s">
        <v>40</v>
      </c>
      <c r="B11" s="0">
        <v>2010</v>
      </c>
      <c r="C11" t="s">
        <v>12</v>
      </c>
      <c r="D11" s="0">
        <v>47</v>
      </c>
      <c r="E11" t="s">
        <v>9</v>
      </c>
    </row>
    <row r="12">
      <c r="A12" t="s">
        <v>40</v>
      </c>
      <c r="B12" s="0">
        <v>2010</v>
      </c>
      <c r="C12" t="s">
        <v>13</v>
      </c>
      <c r="D12" s="0">
        <v>24</v>
      </c>
      <c r="E12" t="s">
        <v>9</v>
      </c>
    </row>
    <row r="13">
      <c r="A13" t="s">
        <v>40</v>
      </c>
      <c r="B13" s="0">
        <v>2011</v>
      </c>
      <c r="C13" t="s">
        <v>12</v>
      </c>
      <c r="D13" s="0">
        <v>47</v>
      </c>
      <c r="E13" t="s">
        <v>9</v>
      </c>
    </row>
    <row r="14">
      <c r="A14" t="s">
        <v>40</v>
      </c>
      <c r="B14" s="0">
        <v>2011</v>
      </c>
      <c r="C14" t="s">
        <v>13</v>
      </c>
      <c r="D14" s="0">
        <v>24</v>
      </c>
      <c r="E14" t="s">
        <v>9</v>
      </c>
    </row>
    <row r="15">
      <c r="A15" t="s">
        <v>40</v>
      </c>
      <c r="B15" s="0">
        <v>2012</v>
      </c>
      <c r="C15" t="s">
        <v>12</v>
      </c>
      <c r="D15" s="0">
        <v>47</v>
      </c>
      <c r="E15" t="s">
        <v>9</v>
      </c>
    </row>
    <row r="16">
      <c r="A16" t="s">
        <v>40</v>
      </c>
      <c r="B16" s="0">
        <v>2012</v>
      </c>
      <c r="C16" t="s">
        <v>13</v>
      </c>
      <c r="D16" s="0">
        <v>24</v>
      </c>
      <c r="E16" t="s">
        <v>9</v>
      </c>
    </row>
    <row r="17">
      <c r="A17" t="s">
        <v>40</v>
      </c>
      <c r="B17" s="0">
        <v>2013</v>
      </c>
      <c r="C17" t="s">
        <v>12</v>
      </c>
      <c r="D17" s="0">
        <v>47</v>
      </c>
      <c r="E17" t="s">
        <v>9</v>
      </c>
    </row>
    <row r="18">
      <c r="A18" t="s">
        <v>40</v>
      </c>
      <c r="B18" s="0">
        <v>2013</v>
      </c>
      <c r="C18" t="s">
        <v>13</v>
      </c>
      <c r="D18" s="0">
        <v>24</v>
      </c>
      <c r="E18" t="s">
        <v>9</v>
      </c>
    </row>
    <row r="19">
      <c r="A19" t="s">
        <v>40</v>
      </c>
      <c r="B19" s="0">
        <v>2014</v>
      </c>
      <c r="C19" t="s">
        <v>12</v>
      </c>
      <c r="D19" s="0">
        <v>47</v>
      </c>
      <c r="E19" t="s">
        <v>9</v>
      </c>
    </row>
    <row r="20">
      <c r="A20" t="s">
        <v>40</v>
      </c>
      <c r="B20" s="0">
        <v>2014</v>
      </c>
      <c r="C20" t="s">
        <v>13</v>
      </c>
      <c r="D20" s="0">
        <v>24</v>
      </c>
      <c r="E20" t="s">
        <v>9</v>
      </c>
    </row>
    <row r="21">
      <c r="A21" t="s">
        <v>40</v>
      </c>
      <c r="B21" s="0">
        <v>2015</v>
      </c>
      <c r="C21" t="s">
        <v>12</v>
      </c>
      <c r="D21" s="0">
        <v>47</v>
      </c>
      <c r="E21" t="s">
        <v>9</v>
      </c>
    </row>
    <row r="22">
      <c r="A22" t="s">
        <v>40</v>
      </c>
      <c r="B22" s="0">
        <v>2015</v>
      </c>
      <c r="C22" t="s">
        <v>13</v>
      </c>
      <c r="D22" s="0">
        <v>24</v>
      </c>
      <c r="E22" t="s">
        <v>9</v>
      </c>
    </row>
    <row r="23">
      <c r="A23" t="s">
        <v>41</v>
      </c>
      <c r="B23" s="0">
        <v>2010</v>
      </c>
      <c r="C23" t="s">
        <v>13</v>
      </c>
      <c r="D23" s="0">
        <v>59</v>
      </c>
      <c r="E23" t="s">
        <v>9</v>
      </c>
    </row>
    <row r="24">
      <c r="A24" t="s">
        <v>41</v>
      </c>
      <c r="B24" s="0">
        <v>2011</v>
      </c>
      <c r="C24" t="s">
        <v>13</v>
      </c>
      <c r="D24" s="0">
        <v>59</v>
      </c>
      <c r="E24" t="s">
        <v>9</v>
      </c>
    </row>
    <row r="25">
      <c r="A25" t="s">
        <v>41</v>
      </c>
      <c r="B25" s="0">
        <v>2012</v>
      </c>
      <c r="C25" t="s">
        <v>13</v>
      </c>
      <c r="D25" s="0">
        <v>59</v>
      </c>
      <c r="E25" t="s">
        <v>9</v>
      </c>
    </row>
    <row r="26">
      <c r="A26" t="s">
        <v>41</v>
      </c>
      <c r="B26" s="0">
        <v>2013</v>
      </c>
      <c r="C26" t="s">
        <v>13</v>
      </c>
      <c r="D26" s="0">
        <v>59</v>
      </c>
      <c r="E26" t="s">
        <v>9</v>
      </c>
    </row>
    <row r="27">
      <c r="A27" t="s">
        <v>41</v>
      </c>
      <c r="B27" s="0">
        <v>2014</v>
      </c>
      <c r="C27" t="s">
        <v>13</v>
      </c>
      <c r="D27" s="0">
        <v>59</v>
      </c>
      <c r="E27" t="s">
        <v>9</v>
      </c>
    </row>
    <row r="28">
      <c r="A28" t="s">
        <v>41</v>
      </c>
      <c r="B28" s="0">
        <v>2015</v>
      </c>
      <c r="C28" t="s">
        <v>13</v>
      </c>
      <c r="D28" s="0">
        <v>59</v>
      </c>
      <c r="E28" t="s">
        <v>9</v>
      </c>
    </row>
    <row r="29">
      <c r="A29" t="s">
        <v>42</v>
      </c>
      <c r="B29" s="0">
        <v>2010</v>
      </c>
      <c r="C29" t="s">
        <v>12</v>
      </c>
      <c r="D29" s="0"/>
      <c r="E29" t="s">
        <v>97</v>
      </c>
    </row>
    <row r="30">
      <c r="A30" t="s">
        <v>42</v>
      </c>
      <c r="B30" s="0">
        <v>2010</v>
      </c>
      <c r="C30" t="s">
        <v>13</v>
      </c>
      <c r="D30" s="0">
        <v>12</v>
      </c>
      <c r="E30" t="s">
        <v>9</v>
      </c>
    </row>
    <row r="31">
      <c r="A31" t="s">
        <v>42</v>
      </c>
      <c r="B31" s="0">
        <v>2011</v>
      </c>
      <c r="C31" t="s">
        <v>12</v>
      </c>
      <c r="D31" s="0"/>
      <c r="E31" t="s">
        <v>97</v>
      </c>
    </row>
    <row r="32">
      <c r="A32" t="s">
        <v>42</v>
      </c>
      <c r="B32" s="0">
        <v>2011</v>
      </c>
      <c r="C32" t="s">
        <v>13</v>
      </c>
      <c r="D32" s="0">
        <v>12</v>
      </c>
      <c r="E32" t="s">
        <v>9</v>
      </c>
    </row>
    <row r="33">
      <c r="A33" t="s">
        <v>42</v>
      </c>
      <c r="B33" s="0">
        <v>2012</v>
      </c>
      <c r="C33" t="s">
        <v>12</v>
      </c>
      <c r="D33" s="0"/>
      <c r="E33" t="s">
        <v>97</v>
      </c>
    </row>
    <row r="34">
      <c r="A34" t="s">
        <v>42</v>
      </c>
      <c r="B34" s="0">
        <v>2012</v>
      </c>
      <c r="C34" t="s">
        <v>13</v>
      </c>
      <c r="D34" s="0">
        <v>12</v>
      </c>
      <c r="E34" t="s">
        <v>9</v>
      </c>
    </row>
    <row r="35">
      <c r="A35" t="s">
        <v>42</v>
      </c>
      <c r="B35" s="0">
        <v>2013</v>
      </c>
      <c r="C35" t="s">
        <v>12</v>
      </c>
      <c r="D35" s="0"/>
      <c r="E35" t="s">
        <v>97</v>
      </c>
    </row>
    <row r="36">
      <c r="A36" t="s">
        <v>42</v>
      </c>
      <c r="B36" s="0">
        <v>2013</v>
      </c>
      <c r="C36" t="s">
        <v>13</v>
      </c>
      <c r="D36" s="0">
        <v>12</v>
      </c>
      <c r="E36" t="s">
        <v>9</v>
      </c>
    </row>
    <row r="37">
      <c r="A37" t="s">
        <v>42</v>
      </c>
      <c r="B37" s="0">
        <v>2014</v>
      </c>
      <c r="C37" t="s">
        <v>12</v>
      </c>
      <c r="D37" s="0"/>
      <c r="E37" t="s">
        <v>97</v>
      </c>
    </row>
    <row r="38">
      <c r="A38" t="s">
        <v>42</v>
      </c>
      <c r="B38" s="0">
        <v>2014</v>
      </c>
      <c r="C38" t="s">
        <v>13</v>
      </c>
      <c r="D38" s="0">
        <v>12</v>
      </c>
      <c r="E38" t="s">
        <v>9</v>
      </c>
    </row>
    <row r="39">
      <c r="A39" t="s">
        <v>42</v>
      </c>
      <c r="B39" s="0">
        <v>2015</v>
      </c>
      <c r="C39" t="s">
        <v>12</v>
      </c>
      <c r="D39" s="0"/>
      <c r="E39" t="s">
        <v>97</v>
      </c>
    </row>
    <row r="40">
      <c r="A40" t="s">
        <v>42</v>
      </c>
      <c r="B40" s="0">
        <v>2015</v>
      </c>
      <c r="C40" t="s">
        <v>13</v>
      </c>
      <c r="D40" s="0">
        <v>12</v>
      </c>
      <c r="E40" t="s">
        <v>9</v>
      </c>
    </row>
  </sheetData>
</worksheet>
</file>

<file path=xl/worksheets/sheet7.xml><?xml version="1.0" encoding="utf-8"?>
<worksheet xmlns="http://schemas.openxmlformats.org/spreadsheetml/2006/main" xmlns:r="http://schemas.openxmlformats.org/officeDocument/2006/relationships">
  <dimension ref="A1:A4"/>
  <sheetFormatPr defaultRowHeight="15"/>
  <sheetData>
    <row r="1">
      <c r="A1" t="s">
        <v>98</v>
      </c>
    </row>
    <row r="2">
      <c r="A2" t="s">
        <v>99</v>
      </c>
    </row>
    <row r="3">
      <c r="A3" s="129">
        <f>+HYPERLINK("[test_results.xlsm]description!A1","Back to description page")</f>
      </c>
    </row>
    <row r="4">
      <c r="A4" t="s">
        <v>100</v>
      </c>
    </row>
  </sheetData>
</worksheet>
</file>

<file path=xl/worksheets/sheet8.xml><?xml version="1.0" encoding="utf-8"?>
<worksheet xmlns="http://schemas.openxmlformats.org/spreadsheetml/2006/main" xmlns:r="http://schemas.openxmlformats.org/officeDocument/2006/relationships">
  <dimension ref="A1:E81"/>
  <sheetFormatPr defaultRowHeight="15"/>
  <sheetData>
    <row r="1">
      <c r="A1" t="s">
        <v>101</v>
      </c>
    </row>
    <row r="2">
      <c r="A2" t="s">
        <v>102</v>
      </c>
    </row>
    <row r="3">
      <c r="A3" s="133">
        <f>+HYPERLINK("[test_results.xlsm]description!A1","Back to description page")</f>
      </c>
    </row>
    <row r="4">
      <c r="A4" t="s">
        <v>10</v>
      </c>
      <c r="B4" t="s">
        <v>11</v>
      </c>
      <c r="C4" t="s">
        <v>38</v>
      </c>
      <c r="D4" t="s">
        <v>14</v>
      </c>
      <c r="E4" t="s">
        <v>19</v>
      </c>
    </row>
    <row r="5">
      <c r="A5" s="0">
        <v>2010</v>
      </c>
      <c r="B5" t="s">
        <v>12</v>
      </c>
      <c r="C5" t="s">
        <v>42</v>
      </c>
      <c r="D5" s="0">
        <v>3</v>
      </c>
      <c r="E5" t="s">
        <v>97</v>
      </c>
    </row>
    <row r="6">
      <c r="A6" s="0">
        <v>2010</v>
      </c>
      <c r="B6" t="s">
        <v>12</v>
      </c>
      <c r="C6" t="s">
        <v>40</v>
      </c>
      <c r="D6" s="0">
        <v>47</v>
      </c>
      <c r="E6" t="s">
        <v>9</v>
      </c>
    </row>
    <row r="7">
      <c r="A7" s="0">
        <v>2010</v>
      </c>
      <c r="B7" t="s">
        <v>13</v>
      </c>
      <c r="C7" t="s">
        <v>42</v>
      </c>
      <c r="D7" s="0">
        <v>12</v>
      </c>
      <c r="E7" t="s">
        <v>9</v>
      </c>
    </row>
    <row r="8">
      <c r="A8" s="0">
        <v>2010</v>
      </c>
      <c r="B8" t="s">
        <v>13</v>
      </c>
      <c r="C8" t="s">
        <v>41</v>
      </c>
      <c r="D8" s="0">
        <v>59</v>
      </c>
      <c r="E8" t="s">
        <v>9</v>
      </c>
    </row>
    <row r="9">
      <c r="A9" s="0">
        <v>2010</v>
      </c>
      <c r="B9" t="s">
        <v>13</v>
      </c>
      <c r="C9" t="s">
        <v>40</v>
      </c>
      <c r="D9" s="0">
        <v>24</v>
      </c>
      <c r="E9" t="s">
        <v>9</v>
      </c>
    </row>
    <row r="10">
      <c r="A10" s="0">
        <v>2010</v>
      </c>
      <c r="B10" t="s">
        <v>13</v>
      </c>
      <c r="C10" t="s">
        <v>39</v>
      </c>
      <c r="D10" s="0">
        <v>8</v>
      </c>
      <c r="E10" t="s">
        <v>97</v>
      </c>
    </row>
    <row r="11">
      <c r="A11" s="0">
        <v>2011</v>
      </c>
      <c r="B11" t="s">
        <v>12</v>
      </c>
      <c r="C11" t="s">
        <v>42</v>
      </c>
      <c r="D11" s="0">
        <v>3</v>
      </c>
      <c r="E11" t="s">
        <v>97</v>
      </c>
    </row>
    <row r="12">
      <c r="A12" s="0">
        <v>2011</v>
      </c>
      <c r="B12" t="s">
        <v>12</v>
      </c>
      <c r="C12" t="s">
        <v>40</v>
      </c>
      <c r="D12" s="0">
        <v>47</v>
      </c>
      <c r="E12" t="s">
        <v>9</v>
      </c>
    </row>
    <row r="13">
      <c r="A13" s="0">
        <v>2011</v>
      </c>
      <c r="B13" t="s">
        <v>13</v>
      </c>
      <c r="C13" t="s">
        <v>42</v>
      </c>
      <c r="D13" s="0">
        <v>12</v>
      </c>
      <c r="E13" t="s">
        <v>9</v>
      </c>
    </row>
    <row r="14">
      <c r="A14" s="0">
        <v>2011</v>
      </c>
      <c r="B14" t="s">
        <v>13</v>
      </c>
      <c r="C14" t="s">
        <v>41</v>
      </c>
      <c r="D14" s="0">
        <v>59</v>
      </c>
      <c r="E14" t="s">
        <v>9</v>
      </c>
    </row>
    <row r="15">
      <c r="A15" s="0">
        <v>2011</v>
      </c>
      <c r="B15" t="s">
        <v>13</v>
      </c>
      <c r="C15" t="s">
        <v>40</v>
      </c>
      <c r="D15" s="0">
        <v>24</v>
      </c>
      <c r="E15" t="s">
        <v>9</v>
      </c>
    </row>
    <row r="16">
      <c r="A16" s="0">
        <v>2011</v>
      </c>
      <c r="B16" t="s">
        <v>13</v>
      </c>
      <c r="C16" t="s">
        <v>39</v>
      </c>
      <c r="D16" s="0">
        <v>8</v>
      </c>
      <c r="E16" t="s">
        <v>97</v>
      </c>
    </row>
    <row r="17">
      <c r="A17" s="0">
        <v>2012</v>
      </c>
      <c r="B17" t="s">
        <v>12</v>
      </c>
      <c r="C17" t="s">
        <v>42</v>
      </c>
      <c r="D17" s="0">
        <v>3</v>
      </c>
      <c r="E17" t="s">
        <v>97</v>
      </c>
    </row>
    <row r="18">
      <c r="A18" s="0">
        <v>2012</v>
      </c>
      <c r="B18" t="s">
        <v>12</v>
      </c>
      <c r="C18" t="s">
        <v>40</v>
      </c>
      <c r="D18" s="0">
        <v>47</v>
      </c>
      <c r="E18" t="s">
        <v>9</v>
      </c>
    </row>
    <row r="19">
      <c r="A19" s="0">
        <v>2012</v>
      </c>
      <c r="B19" t="s">
        <v>13</v>
      </c>
      <c r="C19" t="s">
        <v>42</v>
      </c>
      <c r="D19" s="0">
        <v>12</v>
      </c>
      <c r="E19" t="s">
        <v>9</v>
      </c>
    </row>
    <row r="20">
      <c r="A20" s="0">
        <v>2012</v>
      </c>
      <c r="B20" t="s">
        <v>13</v>
      </c>
      <c r="C20" t="s">
        <v>41</v>
      </c>
      <c r="D20" s="0">
        <v>59</v>
      </c>
      <c r="E20" t="s">
        <v>9</v>
      </c>
    </row>
    <row r="21">
      <c r="A21" s="0">
        <v>2012</v>
      </c>
      <c r="B21" t="s">
        <v>13</v>
      </c>
      <c r="C21" t="s">
        <v>40</v>
      </c>
      <c r="D21" s="0">
        <v>24</v>
      </c>
      <c r="E21" t="s">
        <v>9</v>
      </c>
    </row>
    <row r="22">
      <c r="A22" s="0">
        <v>2012</v>
      </c>
      <c r="B22" t="s">
        <v>13</v>
      </c>
      <c r="C22" t="s">
        <v>39</v>
      </c>
      <c r="D22" s="0">
        <v>8</v>
      </c>
      <c r="E22" t="s">
        <v>97</v>
      </c>
    </row>
    <row r="23">
      <c r="A23" s="0">
        <v>2013</v>
      </c>
      <c r="B23" t="s">
        <v>12</v>
      </c>
      <c r="C23" t="s">
        <v>42</v>
      </c>
      <c r="D23" s="0">
        <v>3</v>
      </c>
      <c r="E23" t="s">
        <v>97</v>
      </c>
    </row>
    <row r="24">
      <c r="A24" s="0">
        <v>2013</v>
      </c>
      <c r="B24" t="s">
        <v>12</v>
      </c>
      <c r="C24" t="s">
        <v>40</v>
      </c>
      <c r="D24" s="0">
        <v>47</v>
      </c>
      <c r="E24" t="s">
        <v>9</v>
      </c>
    </row>
    <row r="25">
      <c r="A25" s="0">
        <v>2013</v>
      </c>
      <c r="B25" t="s">
        <v>13</v>
      </c>
      <c r="C25" t="s">
        <v>42</v>
      </c>
      <c r="D25" s="0">
        <v>12</v>
      </c>
      <c r="E25" t="s">
        <v>9</v>
      </c>
    </row>
    <row r="26">
      <c r="A26" s="0">
        <v>2013</v>
      </c>
      <c r="B26" t="s">
        <v>13</v>
      </c>
      <c r="C26" t="s">
        <v>41</v>
      </c>
      <c r="D26" s="0">
        <v>59</v>
      </c>
      <c r="E26" t="s">
        <v>9</v>
      </c>
    </row>
    <row r="27">
      <c r="A27" s="0">
        <v>2013</v>
      </c>
      <c r="B27" t="s">
        <v>13</v>
      </c>
      <c r="C27" t="s">
        <v>40</v>
      </c>
      <c r="D27" s="0">
        <v>24</v>
      </c>
      <c r="E27" t="s">
        <v>9</v>
      </c>
    </row>
    <row r="28">
      <c r="A28" s="0">
        <v>2013</v>
      </c>
      <c r="B28" t="s">
        <v>13</v>
      </c>
      <c r="C28" t="s">
        <v>39</v>
      </c>
      <c r="D28" s="0">
        <v>8</v>
      </c>
      <c r="E28" t="s">
        <v>97</v>
      </c>
    </row>
    <row r="29">
      <c r="A29" s="0">
        <v>2014</v>
      </c>
      <c r="B29" t="s">
        <v>12</v>
      </c>
      <c r="C29" t="s">
        <v>42</v>
      </c>
      <c r="D29" s="0">
        <v>3</v>
      </c>
      <c r="E29" t="s">
        <v>97</v>
      </c>
    </row>
    <row r="30">
      <c r="A30" s="0">
        <v>2014</v>
      </c>
      <c r="B30" t="s">
        <v>12</v>
      </c>
      <c r="C30" t="s">
        <v>40</v>
      </c>
      <c r="D30" s="0">
        <v>47</v>
      </c>
      <c r="E30" t="s">
        <v>9</v>
      </c>
    </row>
    <row r="31">
      <c r="A31" s="0">
        <v>2014</v>
      </c>
      <c r="B31" t="s">
        <v>13</v>
      </c>
      <c r="C31" t="s">
        <v>42</v>
      </c>
      <c r="D31" s="0">
        <v>12</v>
      </c>
      <c r="E31" t="s">
        <v>9</v>
      </c>
    </row>
    <row r="32">
      <c r="A32" s="0">
        <v>2014</v>
      </c>
      <c r="B32" t="s">
        <v>13</v>
      </c>
      <c r="C32" t="s">
        <v>41</v>
      </c>
      <c r="D32" s="0">
        <v>59</v>
      </c>
      <c r="E32" t="s">
        <v>9</v>
      </c>
    </row>
    <row r="33">
      <c r="A33" s="0">
        <v>2014</v>
      </c>
      <c r="B33" t="s">
        <v>13</v>
      </c>
      <c r="C33" t="s">
        <v>40</v>
      </c>
      <c r="D33" s="0">
        <v>24</v>
      </c>
      <c r="E33" t="s">
        <v>9</v>
      </c>
    </row>
    <row r="34">
      <c r="A34" s="0">
        <v>2014</v>
      </c>
      <c r="B34" t="s">
        <v>13</v>
      </c>
      <c r="C34" t="s">
        <v>39</v>
      </c>
      <c r="D34" s="0">
        <v>8</v>
      </c>
      <c r="E34" t="s">
        <v>97</v>
      </c>
    </row>
    <row r="35">
      <c r="A35" s="0">
        <v>2015</v>
      </c>
      <c r="B35" t="s">
        <v>12</v>
      </c>
      <c r="C35" t="s">
        <v>42</v>
      </c>
      <c r="D35" s="0">
        <v>3</v>
      </c>
      <c r="E35" t="s">
        <v>97</v>
      </c>
    </row>
    <row r="36">
      <c r="A36" s="0">
        <v>2015</v>
      </c>
      <c r="B36" t="s">
        <v>12</v>
      </c>
      <c r="C36" t="s">
        <v>40</v>
      </c>
      <c r="D36" s="0">
        <v>47</v>
      </c>
      <c r="E36" t="s">
        <v>9</v>
      </c>
    </row>
    <row r="37">
      <c r="A37" s="0">
        <v>2015</v>
      </c>
      <c r="B37" t="s">
        <v>13</v>
      </c>
      <c r="C37" t="s">
        <v>42</v>
      </c>
      <c r="D37" s="0">
        <v>12</v>
      </c>
      <c r="E37" t="s">
        <v>9</v>
      </c>
    </row>
    <row r="38">
      <c r="A38" s="0">
        <v>2015</v>
      </c>
      <c r="B38" t="s">
        <v>13</v>
      </c>
      <c r="C38" t="s">
        <v>41</v>
      </c>
      <c r="D38" s="0">
        <v>59</v>
      </c>
      <c r="E38" t="s">
        <v>9</v>
      </c>
    </row>
    <row r="39">
      <c r="A39" s="0">
        <v>2015</v>
      </c>
      <c r="B39" t="s">
        <v>13</v>
      </c>
      <c r="C39" t="s">
        <v>40</v>
      </c>
      <c r="D39" s="0">
        <v>24</v>
      </c>
      <c r="E39" t="s">
        <v>9</v>
      </c>
    </row>
    <row r="40">
      <c r="A40" s="0">
        <v>2015</v>
      </c>
      <c r="B40" t="s">
        <v>13</v>
      </c>
      <c r="C40" t="s">
        <v>39</v>
      </c>
      <c r="D40" s="0">
        <v>8</v>
      </c>
      <c r="E40" t="s">
        <v>97</v>
      </c>
    </row>
    <row r="43">
      <c r="A43" s="134" t="s">
        <v>20</v>
      </c>
    </row>
    <row r="44">
      <c r="A44" s="135" t="s">
        <v>21</v>
      </c>
    </row>
    <row r="45">
      <c r="A45" s="136" t="s">
        <v>103</v>
      </c>
    </row>
    <row r="46">
      <c r="A46" s="137" t="s">
        <v>104</v>
      </c>
    </row>
    <row r="47">
      <c r="A47" s="138" t="s">
        <v>105</v>
      </c>
    </row>
    <row r="48">
      <c r="A48" s="139" t="s">
        <v>24</v>
      </c>
    </row>
    <row r="49">
      <c r="A49" s="140" t="s">
        <v>106</v>
      </c>
    </row>
    <row r="50">
      <c r="A50" s="141" t="s">
        <v>107</v>
      </c>
    </row>
    <row r="51">
      <c r="A51" s="142" t="s">
        <v>108</v>
      </c>
    </row>
    <row r="52">
      <c r="A52" s="143" t="s">
        <v>109</v>
      </c>
    </row>
    <row r="53">
      <c r="A53" s="144" t="s">
        <v>110</v>
      </c>
    </row>
    <row r="54">
      <c r="A54" s="145" t="s">
        <v>46</v>
      </c>
    </row>
    <row r="55">
      <c r="A55" s="146" t="s">
        <v>49</v>
      </c>
    </row>
    <row r="56">
      <c r="A56" s="147" t="s">
        <v>24</v>
      </c>
    </row>
    <row r="57">
      <c r="A57" s="148" t="s">
        <v>111</v>
      </c>
    </row>
    <row r="58">
      <c r="A58" s="149" t="s">
        <v>112</v>
      </c>
    </row>
    <row r="59">
      <c r="A59" s="150" t="s">
        <v>113</v>
      </c>
    </row>
    <row r="60">
      <c r="A60" s="151" t="s">
        <v>114</v>
      </c>
    </row>
    <row r="61">
      <c r="A61" s="152" t="s">
        <v>115</v>
      </c>
    </row>
    <row r="62">
      <c r="A62" s="153" t="s">
        <v>116</v>
      </c>
    </row>
    <row r="63">
      <c r="A63" s="154" t="s">
        <v>117</v>
      </c>
    </row>
    <row r="64">
      <c r="A64" s="155" t="s">
        <v>24</v>
      </c>
    </row>
    <row r="65">
      <c r="A65" s="156" t="s">
        <v>118</v>
      </c>
    </row>
    <row r="66">
      <c r="A66" s="157" t="s">
        <v>119</v>
      </c>
    </row>
    <row r="67">
      <c r="A67" s="158" t="s">
        <v>120</v>
      </c>
    </row>
    <row r="68">
      <c r="A68" s="159" t="s">
        <v>121</v>
      </c>
    </row>
    <row r="69">
      <c r="A69" s="160" t="s">
        <v>122</v>
      </c>
    </row>
    <row r="70">
      <c r="A70" s="161" t="s">
        <v>64</v>
      </c>
    </row>
    <row r="71">
      <c r="A71" s="162" t="s">
        <v>67</v>
      </c>
    </row>
    <row r="72">
      <c r="A72" s="163" t="s">
        <v>24</v>
      </c>
    </row>
    <row r="73">
      <c r="A73" s="164" t="s">
        <v>123</v>
      </c>
    </row>
    <row r="74">
      <c r="A74" s="165" t="s">
        <v>124</v>
      </c>
    </row>
    <row r="75">
      <c r="A75" s="166" t="s">
        <v>125</v>
      </c>
    </row>
    <row r="76">
      <c r="A76" s="167" t="s">
        <v>126</v>
      </c>
    </row>
    <row r="77">
      <c r="A77" s="168" t="s">
        <v>127</v>
      </c>
    </row>
    <row r="78">
      <c r="A78" s="169" t="s">
        <v>128</v>
      </c>
    </row>
    <row r="79">
      <c r="A79" s="170" t="s">
        <v>129</v>
      </c>
    </row>
    <row r="80">
      <c r="A80" s="171" t="s">
        <v>21</v>
      </c>
    </row>
    <row r="81">
      <c r="A81" s="172"/>
    </row>
  </sheetData>
</worksheet>
</file>

<file path=xl/worksheets/sheet9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130</v>
      </c>
    </row>
    <row r="2">
      <c r="A2" t="s">
        <v>8</v>
      </c>
    </row>
    <row r="3">
      <c r="A3" s="176">
        <f>+HYPERLINK("[test_results.xlsm]description!A1","Back to description page")</f>
      </c>
    </row>
    <row r="4">
      <c r="A4" t="s">
        <v>9</v>
      </c>
    </row>
    <row r="5">
      <c r="A5" s="193"/>
      <c r="B5" s="194" t="s">
        <v>153</v>
      </c>
      <c r="C5" s="195" t="s">
        <v>154</v>
      </c>
      <c r="D5" s="196" t="s">
        <v>155</v>
      </c>
      <c r="E5" s="197" t="s">
        <v>156</v>
      </c>
    </row>
    <row r="6">
      <c r="A6" s="198" t="s">
        <v>144</v>
      </c>
      <c r="B6" s="199">
        <v>-0.88556808612140192</v>
      </c>
      <c r="C6" s="200">
        <v>-0.6658834041001247</v>
      </c>
      <c r="D6" s="201">
        <v>0.83183089622935091</v>
      </c>
      <c r="E6" s="202">
        <v>399436.3419614844</v>
      </c>
    </row>
    <row r="7">
      <c r="A7" s="203" t="s">
        <v>145</v>
      </c>
      <c r="B7" s="204">
        <v>0.024511827679942817</v>
      </c>
      <c r="C7" s="205">
        <v>0.016278659751373034</v>
      </c>
      <c r="D7" s="206">
        <v>0.010537960679170528</v>
      </c>
      <c r="E7" s="207">
        <v>531251.87150676153</v>
      </c>
    </row>
    <row r="8">
      <c r="A8" s="208" t="s">
        <v>146</v>
      </c>
      <c r="B8" s="209">
        <v>-36.128194832490266</v>
      </c>
      <c r="C8" s="210">
        <v>-40.905296521352767</v>
      </c>
      <c r="D8" s="211">
        <v>78.936610370311868</v>
      </c>
      <c r="E8" s="212">
        <v>0.75187752436256705</v>
      </c>
    </row>
    <row r="9">
      <c r="A9" s="213" t="s">
        <v>147</v>
      </c>
      <c r="B9" s="214">
        <v>8.7416250702358293e-171</v>
      </c>
      <c r="C9" s="215">
        <v>6.0062886637239942e-199</v>
      </c>
      <c r="D9" s="216">
        <v>0</v>
      </c>
      <c r="E9" s="217">
        <v>0.45234394106437048</v>
      </c>
    </row>
    <row r="10">
      <c r="A10" s="218" t="s">
        <v>148</v>
      </c>
      <c r="B10" s="219">
        <v>-0.9336825473171555</v>
      </c>
      <c r="C10" s="220">
        <v>-0.69783691459119312</v>
      </c>
      <c r="D10" s="221">
        <v>0.81114584953268165</v>
      </c>
      <c r="E10" s="222">
        <v>-643362.17516823462</v>
      </c>
    </row>
    <row r="11">
      <c r="A11" s="223" t="s">
        <v>149</v>
      </c>
      <c r="B11" s="224">
        <v>-0.83745362492564834</v>
      </c>
      <c r="C11" s="225">
        <v>-0.63392989360905627</v>
      </c>
      <c r="D11" s="226">
        <v>0.85251594292602018</v>
      </c>
      <c r="E11" s="227">
        <v>1442234.8590912034</v>
      </c>
    </row>
    <row r="12">
      <c r="A12" s="228" t="s">
        <v>150</v>
      </c>
      <c r="B12" s="229">
        <v>807</v>
      </c>
      <c r="C12" s="230">
        <v>807</v>
      </c>
      <c r="D12" s="231">
        <v>807</v>
      </c>
      <c r="E12" s="232">
        <v>807</v>
      </c>
    </row>
    <row r="13">
      <c r="A13" s="233" t="s">
        <v>151</v>
      </c>
      <c r="B13" s="234">
        <v>1.9629079407703258</v>
      </c>
      <c r="C13" s="235">
        <v>1.9629079407703258</v>
      </c>
      <c r="D13" s="236">
        <v>1.9629079407703258</v>
      </c>
      <c r="E13" s="237">
        <v>1.9629079407703258</v>
      </c>
    </row>
    <row r="14">
      <c r="A14" s="238" t="s">
        <v>152</v>
      </c>
      <c r="B14" s="239">
        <v>0</v>
      </c>
      <c r="C14" s="240">
        <v>0</v>
      </c>
      <c r="D14" s="241">
        <v>0</v>
      </c>
      <c r="E14" s="242">
        <v>0</v>
      </c>
    </row>
    <row r="17">
      <c r="A17" s="177" t="s">
        <v>20</v>
      </c>
    </row>
    <row r="18">
      <c r="A18" s="178" t="s">
        <v>131</v>
      </c>
    </row>
    <row r="19">
      <c r="A19" s="179" t="s">
        <v>132</v>
      </c>
    </row>
    <row r="20">
      <c r="A20" s="180" t="s">
        <v>133</v>
      </c>
    </row>
    <row r="21">
      <c r="A21" s="181" t="s">
        <v>134</v>
      </c>
    </row>
    <row r="22">
      <c r="A22" s="182" t="s">
        <v>135</v>
      </c>
    </row>
    <row r="23">
      <c r="A23" s="183" t="s">
        <v>136</v>
      </c>
    </row>
    <row r="24">
      <c r="A24" s="184" t="s">
        <v>137</v>
      </c>
    </row>
    <row r="25">
      <c r="A25" s="185" t="s">
        <v>138</v>
      </c>
    </row>
    <row r="26">
      <c r="A26" s="186" t="s">
        <v>139</v>
      </c>
    </row>
    <row r="27">
      <c r="A27" s="187" t="s">
        <v>140</v>
      </c>
    </row>
    <row r="28">
      <c r="A28" s="188" t="s">
        <v>141</v>
      </c>
    </row>
    <row r="29">
      <c r="A29" s="189" t="s">
        <v>142</v>
      </c>
    </row>
    <row r="30">
      <c r="A30" s="190" t="s">
        <v>143</v>
      </c>
    </row>
    <row r="31">
      <c r="A31" s="191" t="s">
        <v>137</v>
      </c>
    </row>
    <row r="32">
      <c r="A32" s="192"/>
    </row>
  </sheetData>
</worksheet>
</file>

<file path=xl/worksheets/sheet10.xml><?xml version="1.0" encoding="utf-8"?>
<worksheet xmlns="http://schemas.openxmlformats.org/spreadsheetml/2006/main" xmlns:r="http://schemas.openxmlformats.org/officeDocument/2006/relationships">
  <dimension ref="A1:F40"/>
  <sheetFormatPr defaultRowHeight="15"/>
  <sheetData>
    <row r="1">
      <c r="A1" t="s">
        <v>157</v>
      </c>
    </row>
    <row r="2">
      <c r="A2" t="s">
        <v>8</v>
      </c>
    </row>
    <row r="3">
      <c r="A3" s="246">
        <f>+HYPERLINK("[test_results.xlsm]description!A1","Back to description page")</f>
      </c>
    </row>
    <row r="4">
      <c r="A4" t="s">
        <v>9</v>
      </c>
    </row>
    <row r="5">
      <c r="A5" s="271"/>
      <c r="B5" s="272" t="s">
        <v>11</v>
      </c>
      <c r="C5" s="273" t="s">
        <v>11</v>
      </c>
      <c r="D5" s="274" t="s">
        <v>11</v>
      </c>
      <c r="E5" s="275" t="s">
        <v>11</v>
      </c>
      <c r="F5" s="276" t="s">
        <v>11</v>
      </c>
    </row>
    <row r="6">
      <c r="A6" s="277"/>
      <c r="B6" s="278" t="s">
        <v>178</v>
      </c>
      <c r="C6" s="279" t="s">
        <v>153</v>
      </c>
      <c r="D6" s="280" t="s">
        <v>154</v>
      </c>
      <c r="E6" s="281" t="s">
        <v>155</v>
      </c>
      <c r="F6" s="282" t="s">
        <v>156</v>
      </c>
    </row>
    <row r="7">
      <c r="A7" s="283" t="s">
        <v>144</v>
      </c>
      <c r="B7" s="284">
        <v>4.1139503850065286e-008</v>
      </c>
      <c r="C7" s="285">
        <v>-4.2973037866864396e-008</v>
      </c>
      <c r="D7" s="286">
        <v>1.3572731914909498e-007</v>
      </c>
      <c r="E7" s="287">
        <v>3.4726872841913132e-008</v>
      </c>
      <c r="F7" s="288">
        <v>0.044542159716027874</v>
      </c>
    </row>
    <row r="8">
      <c r="A8" s="289" t="s">
        <v>145</v>
      </c>
      <c r="B8" s="290">
        <v>6.54315259190279e-008</v>
      </c>
      <c r="C8" s="291">
        <v>6.0693235151461804e-008</v>
      </c>
      <c r="D8" s="292">
        <v>6.2735862132457943e-008</v>
      </c>
      <c r="E8" s="293">
        <v>5.8354233407306902e-008</v>
      </c>
      <c r="F8" s="294">
        <v>0.056343111717817945</v>
      </c>
    </row>
    <row r="9">
      <c r="A9" s="295" t="s">
        <v>177</v>
      </c>
      <c r="B9" s="296">
        <v>0.62874131807617917</v>
      </c>
      <c r="C9" s="297">
        <v>-0.70803669897681154</v>
      </c>
      <c r="D9" s="298">
        <v>2.163472606186966</v>
      </c>
      <c r="E9" s="299">
        <v>0.59510460191504733</v>
      </c>
      <c r="F9" s="300">
        <v>0.79055200108768331</v>
      </c>
    </row>
    <row r="10">
      <c r="A10" s="301" t="s">
        <v>147</v>
      </c>
      <c r="B10" s="302">
        <v>0.52951842334009913</v>
      </c>
      <c r="C10" s="303">
        <v>0.47892246769199437</v>
      </c>
      <c r="D10" s="304">
        <v>0.030504848466741195</v>
      </c>
      <c r="E10" s="305">
        <v>0.55177355272178363</v>
      </c>
      <c r="F10" s="306">
        <v>0.42920546581591407</v>
      </c>
    </row>
    <row r="11">
      <c r="A11" s="307" t="s">
        <v>148</v>
      </c>
      <c r="B11" s="308">
        <v>-8.7103930404728457e-008</v>
      </c>
      <c r="C11" s="309">
        <v>-1.6192959286894995e-007</v>
      </c>
      <c r="D11" s="310">
        <v>1.2767288830407236e-008</v>
      </c>
      <c r="E11" s="311">
        <v>-7.9645322981852428e-008</v>
      </c>
      <c r="F11" s="312">
        <v>-0.06588831002781198</v>
      </c>
    </row>
    <row r="12">
      <c r="A12" s="313" t="s">
        <v>149</v>
      </c>
      <c r="B12" s="314">
        <v>1.6938293810485901e-007</v>
      </c>
      <c r="C12" s="315">
        <v>7.5983517135221143e-008</v>
      </c>
      <c r="D12" s="316">
        <v>2.5868734946778275e-007</v>
      </c>
      <c r="E12" s="317">
        <v>1.4909906866567868e-007</v>
      </c>
      <c r="F12" s="318">
        <v>0.15497262945986773</v>
      </c>
    </row>
    <row r="13">
      <c r="A13" s="319" t="s">
        <v>150</v>
      </c>
      <c r="B13" s="0"/>
      <c r="C13" s="0"/>
      <c r="D13" s="0"/>
      <c r="E13" s="0"/>
      <c r="F13" s="0"/>
    </row>
    <row r="14">
      <c r="A14" s="325" t="s">
        <v>151</v>
      </c>
      <c r="B14" s="326">
        <v>1.9599639845400538</v>
      </c>
      <c r="C14" s="327">
        <v>1.9599639845400538</v>
      </c>
      <c r="D14" s="328">
        <v>1.9599639845400538</v>
      </c>
      <c r="E14" s="329">
        <v>1.9599639845400538</v>
      </c>
      <c r="F14" s="330">
        <v>1.9599639845400538</v>
      </c>
    </row>
    <row r="15">
      <c r="A15" s="331" t="s">
        <v>152</v>
      </c>
      <c r="B15" s="332">
        <v>0</v>
      </c>
      <c r="C15" s="333">
        <v>0</v>
      </c>
      <c r="D15" s="334">
        <v>0</v>
      </c>
      <c r="E15" s="335">
        <v>0</v>
      </c>
      <c r="F15" s="336">
        <v>0</v>
      </c>
    </row>
    <row r="17">
      <c r="A17" s="247" t="s">
        <v>20</v>
      </c>
    </row>
    <row r="18">
      <c r="A18" s="248" t="s">
        <v>158</v>
      </c>
    </row>
    <row r="19">
      <c r="A19" s="249" t="s">
        <v>159</v>
      </c>
    </row>
    <row r="20">
      <c r="A20" s="250" t="s">
        <v>160</v>
      </c>
    </row>
    <row r="21">
      <c r="A21" s="251" t="s">
        <v>161</v>
      </c>
    </row>
    <row r="22">
      <c r="A22" s="252" t="s">
        <v>162</v>
      </c>
    </row>
    <row r="23">
      <c r="A23" s="253" t="s">
        <v>163</v>
      </c>
    </row>
    <row r="24">
      <c r="A24" s="254" t="s">
        <v>164</v>
      </c>
    </row>
    <row r="25">
      <c r="A25" s="255" t="s">
        <v>165</v>
      </c>
    </row>
    <row r="26">
      <c r="A26" s="256" t="s">
        <v>166</v>
      </c>
    </row>
    <row r="27">
      <c r="A27" s="257" t="s">
        <v>167</v>
      </c>
    </row>
    <row r="28">
      <c r="A28" s="258" t="s">
        <v>168</v>
      </c>
    </row>
    <row r="29">
      <c r="A29" s="259" t="s">
        <v>169</v>
      </c>
    </row>
    <row r="30">
      <c r="A30" s="260" t="s">
        <v>137</v>
      </c>
    </row>
    <row r="31">
      <c r="A31" s="261" t="s">
        <v>170</v>
      </c>
    </row>
    <row r="32">
      <c r="A32" s="262" t="s">
        <v>139</v>
      </c>
    </row>
    <row r="33">
      <c r="A33" s="263" t="s">
        <v>171</v>
      </c>
    </row>
    <row r="34">
      <c r="A34" s="264" t="s">
        <v>172</v>
      </c>
    </row>
    <row r="35">
      <c r="A35" s="265" t="s">
        <v>173</v>
      </c>
    </row>
    <row r="36">
      <c r="A36" s="266" t="s">
        <v>174</v>
      </c>
    </row>
    <row r="37">
      <c r="A37" s="267" t="s">
        <v>175</v>
      </c>
    </row>
    <row r="38">
      <c r="A38" s="268" t="s">
        <v>137</v>
      </c>
    </row>
    <row r="39">
      <c r="A39" s="269" t="s">
        <v>176</v>
      </c>
    </row>
    <row r="40">
      <c r="A40" s="270"/>
    </row>
  </sheetData>
</worksheet>
</file>

<file path=xl/worksheets/sheet11.xml><?xml version="1.0" encoding="utf-8"?>
<worksheet xmlns="http://schemas.openxmlformats.org/spreadsheetml/2006/main" xmlns:r="http://schemas.openxmlformats.org/officeDocument/2006/relationships">
  <dimension ref="A1:E38"/>
  <sheetFormatPr defaultRowHeight="15"/>
  <sheetData>
    <row r="1">
      <c r="A1" t="s">
        <v>179</v>
      </c>
    </row>
    <row r="2">
      <c r="A2" t="s">
        <v>8</v>
      </c>
    </row>
    <row r="3">
      <c r="A3" s="340">
        <f>+HYPERLINK("[test_results.xlsm]description!A1","Back to description page")</f>
      </c>
    </row>
    <row r="4">
      <c r="A4" t="s">
        <v>9</v>
      </c>
    </row>
    <row r="5">
      <c r="A5" s="363"/>
      <c r="B5" s="364" t="s">
        <v>153</v>
      </c>
      <c r="C5" s="365" t="s">
        <v>154</v>
      </c>
      <c r="D5" s="366" t="s">
        <v>155</v>
      </c>
      <c r="E5" s="367" t="s">
        <v>156</v>
      </c>
    </row>
    <row r="6">
      <c r="A6" s="368" t="s">
        <v>144</v>
      </c>
      <c r="B6" s="369">
        <v>-0.59099955154265094</v>
      </c>
      <c r="C6" s="370">
        <v>-0.11359848745549377</v>
      </c>
      <c r="D6" s="371">
        <v>0.5039414024522163</v>
      </c>
      <c r="E6" s="372">
        <v>584635.73527892097</v>
      </c>
    </row>
    <row r="7">
      <c r="A7" s="373" t="s">
        <v>145</v>
      </c>
      <c r="B7" s="374">
        <v>0.037423972109264542</v>
      </c>
      <c r="C7" s="375">
        <v>0.013288462233324867</v>
      </c>
      <c r="D7" s="376">
        <v>0.014686504094469803</v>
      </c>
      <c r="E7" s="377">
        <v>1084380.7805565833</v>
      </c>
    </row>
    <row r="8">
      <c r="A8" s="378" t="s">
        <v>177</v>
      </c>
      <c r="B8" s="379">
        <v>-15.792004916451539</v>
      </c>
      <c r="C8" s="380">
        <v>-8.5486556277829457</v>
      </c>
      <c r="D8" s="381">
        <v>34.313230651123789</v>
      </c>
      <c r="E8" s="382">
        <v>0.53914247260896975</v>
      </c>
    </row>
    <row r="9">
      <c r="A9" s="383" t="s">
        <v>147</v>
      </c>
      <c r="B9" s="384">
        <v>3.5317377088374062e-056</v>
      </c>
      <c r="C9" s="385">
        <v>1.245304665988123e-017</v>
      </c>
      <c r="D9" s="386">
        <v>4.9822681214184979e-258</v>
      </c>
      <c r="E9" s="387">
        <v>0.58978855106637429</v>
      </c>
    </row>
    <row r="10">
      <c r="A10" s="388" t="s">
        <v>148</v>
      </c>
      <c r="B10" s="389">
        <v>-0.66434918903524087</v>
      </c>
      <c r="C10" s="390">
        <v>-0.13964339484273119</v>
      </c>
      <c r="D10" s="391">
        <v>0.47515638336825544</v>
      </c>
      <c r="E10" s="392">
        <v>-1540711.5401394137</v>
      </c>
    </row>
    <row r="11">
      <c r="A11" s="393" t="s">
        <v>149</v>
      </c>
      <c r="B11" s="394">
        <v>-0.517649914050061</v>
      </c>
      <c r="C11" s="395">
        <v>-0.087553580068256337</v>
      </c>
      <c r="D11" s="396">
        <v>0.53272642153617711</v>
      </c>
      <c r="E11" s="397">
        <v>2709983.0106972558</v>
      </c>
    </row>
    <row r="12">
      <c r="A12" s="398" t="s">
        <v>150</v>
      </c>
      <c r="B12" s="0"/>
      <c r="C12" s="0"/>
      <c r="D12" s="0"/>
      <c r="E12" s="0"/>
    </row>
    <row r="13">
      <c r="A13" s="403" t="s">
        <v>151</v>
      </c>
      <c r="B13" s="404">
        <v>1.9599639845400538</v>
      </c>
      <c r="C13" s="405">
        <v>1.9599639845400538</v>
      </c>
      <c r="D13" s="406">
        <v>1.9599639845400538</v>
      </c>
      <c r="E13" s="407">
        <v>1.9599639845400538</v>
      </c>
    </row>
    <row r="14">
      <c r="A14" s="408" t="s">
        <v>152</v>
      </c>
      <c r="B14" s="409">
        <v>0</v>
      </c>
      <c r="C14" s="410">
        <v>0</v>
      </c>
      <c r="D14" s="411">
        <v>0</v>
      </c>
      <c r="E14" s="412">
        <v>0</v>
      </c>
    </row>
    <row r="17">
      <c r="A17" s="341" t="s">
        <v>20</v>
      </c>
    </row>
    <row r="18">
      <c r="A18" s="342" t="s">
        <v>180</v>
      </c>
    </row>
    <row r="19">
      <c r="A19" s="343" t="s">
        <v>181</v>
      </c>
    </row>
    <row r="20">
      <c r="A20" s="344" t="s">
        <v>182</v>
      </c>
    </row>
    <row r="21">
      <c r="A21" s="345" t="s">
        <v>183</v>
      </c>
    </row>
    <row r="22">
      <c r="A22" s="346" t="s">
        <v>184</v>
      </c>
    </row>
    <row r="23">
      <c r="A23" s="347" t="s">
        <v>185</v>
      </c>
    </row>
    <row r="24">
      <c r="A24" s="348" t="s">
        <v>186</v>
      </c>
    </row>
    <row r="25">
      <c r="A25" s="349" t="s">
        <v>187</v>
      </c>
    </row>
    <row r="26">
      <c r="A26" s="350" t="s">
        <v>137</v>
      </c>
    </row>
    <row r="27">
      <c r="A27" s="351" t="s">
        <v>188</v>
      </c>
    </row>
    <row r="28">
      <c r="A28" s="352" t="s">
        <v>139</v>
      </c>
    </row>
    <row r="29">
      <c r="A29" s="353" t="s">
        <v>189</v>
      </c>
    </row>
    <row r="30">
      <c r="A30" s="354" t="s">
        <v>190</v>
      </c>
    </row>
    <row r="31">
      <c r="A31" s="355" t="s">
        <v>191</v>
      </c>
    </row>
    <row r="32">
      <c r="A32" s="356" t="s">
        <v>192</v>
      </c>
    </row>
    <row r="33">
      <c r="A33" s="357" t="s">
        <v>139</v>
      </c>
    </row>
    <row r="34">
      <c r="A34" s="358" t="s">
        <v>193</v>
      </c>
    </row>
    <row r="35">
      <c r="A35" s="359" t="s">
        <v>194</v>
      </c>
    </row>
    <row r="36">
      <c r="A36" s="360" t="s">
        <v>195</v>
      </c>
    </row>
    <row r="37">
      <c r="A37" s="361" t="s">
        <v>137</v>
      </c>
    </row>
    <row r="38">
      <c r="A38" s="362"/>
    </row>
  </sheetData>
</worksheet>
</file>

<file path=xl/worksheets/sheet12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196</v>
      </c>
    </row>
    <row r="2">
      <c r="A2" t="s">
        <v>8</v>
      </c>
    </row>
    <row r="3">
      <c r="A3" s="416">
        <f>+HYPERLINK("[test_results.xlsm]description!A1","Back to description page")</f>
      </c>
    </row>
    <row r="4">
      <c r="A4" t="s">
        <v>9</v>
      </c>
    </row>
    <row r="5">
      <c r="A5" s="433"/>
      <c r="B5" s="434" t="s">
        <v>153</v>
      </c>
      <c r="C5" s="435" t="s">
        <v>154</v>
      </c>
      <c r="D5" s="436" t="s">
        <v>155</v>
      </c>
      <c r="E5" s="437" t="s">
        <v>156</v>
      </c>
    </row>
    <row r="6">
      <c r="A6" s="438" t="s">
        <v>144</v>
      </c>
      <c r="B6" s="439">
        <v>-0.93734614021157525</v>
      </c>
      <c r="C6" s="440">
        <v>-0.2864263877379381</v>
      </c>
      <c r="D6" s="441">
        <v>0.51292988330050582</v>
      </c>
      <c r="E6" s="442">
        <v>3892570.9818738997</v>
      </c>
    </row>
    <row r="7">
      <c r="A7" s="443" t="s">
        <v>145</v>
      </c>
      <c r="B7" s="444">
        <v>0.16559769270190539</v>
      </c>
      <c r="C7" s="445">
        <v>0.043203859126033001</v>
      </c>
      <c r="D7" s="446">
        <v>0.036280100375132365</v>
      </c>
      <c r="E7" s="447">
        <v>3407730.3996349089</v>
      </c>
    </row>
    <row r="8">
      <c r="A8" s="448" t="s">
        <v>146</v>
      </c>
      <c r="B8" s="449">
        <v>-5.6603816449236675</v>
      </c>
      <c r="C8" s="450">
        <v>-6.6296482196737019</v>
      </c>
      <c r="D8" s="451">
        <v>14.13805028092165</v>
      </c>
      <c r="E8" s="452">
        <v>1.142276684297248</v>
      </c>
    </row>
    <row r="9">
      <c r="A9" s="453" t="s">
        <v>147</v>
      </c>
      <c r="B9" s="454">
        <v>2.1580287136432655e-007</v>
      </c>
      <c r="C9" s="455">
        <v>3.3195243201393468e-009</v>
      </c>
      <c r="D9" s="456">
        <v>1.0708036582058824e-023</v>
      </c>
      <c r="E9" s="457">
        <v>0.25666346820015351</v>
      </c>
    </row>
    <row r="10">
      <c r="A10" s="458" t="s">
        <v>148</v>
      </c>
      <c r="B10" s="459">
        <v>-1.2667727033224749</v>
      </c>
      <c r="C10" s="460">
        <v>-0.37237262643726976</v>
      </c>
      <c r="D10" s="461">
        <v>0.44075720636947752</v>
      </c>
      <c r="E10" s="462">
        <v>-2886490.3398382496</v>
      </c>
    </row>
    <row r="11">
      <c r="A11" s="463" t="s">
        <v>149</v>
      </c>
      <c r="B11" s="464">
        <v>-0.60791957710067546</v>
      </c>
      <c r="C11" s="465">
        <v>-0.20048014903860645</v>
      </c>
      <c r="D11" s="466">
        <v>0.58510256023153417</v>
      </c>
      <c r="E11" s="467">
        <v>10671632.303586049</v>
      </c>
    </row>
    <row r="12">
      <c r="A12" s="468" t="s">
        <v>150</v>
      </c>
      <c r="B12" s="469">
        <v>82</v>
      </c>
      <c r="C12" s="470">
        <v>82</v>
      </c>
      <c r="D12" s="471">
        <v>82</v>
      </c>
      <c r="E12" s="472">
        <v>82</v>
      </c>
    </row>
    <row r="13">
      <c r="A13" s="473" t="s">
        <v>151</v>
      </c>
      <c r="B13" s="474">
        <v>1.9893185571365717</v>
      </c>
      <c r="C13" s="475">
        <v>1.9893185571365717</v>
      </c>
      <c r="D13" s="476">
        <v>1.9893185571365717</v>
      </c>
      <c r="E13" s="477">
        <v>1.9893185571365717</v>
      </c>
    </row>
    <row r="14">
      <c r="A14" s="478" t="s">
        <v>152</v>
      </c>
      <c r="B14" s="479">
        <v>0</v>
      </c>
      <c r="C14" s="480">
        <v>0</v>
      </c>
      <c r="D14" s="481">
        <v>0</v>
      </c>
      <c r="E14" s="482">
        <v>0</v>
      </c>
    </row>
    <row r="17">
      <c r="A17" s="417" t="s">
        <v>20</v>
      </c>
    </row>
    <row r="18">
      <c r="A18" s="418" t="s">
        <v>197</v>
      </c>
    </row>
    <row r="19">
      <c r="A19" s="419" t="s">
        <v>198</v>
      </c>
    </row>
    <row r="20">
      <c r="A20" s="420" t="s">
        <v>199</v>
      </c>
    </row>
    <row r="21">
      <c r="A21" s="421" t="s">
        <v>200</v>
      </c>
    </row>
    <row r="22">
      <c r="A22" s="422" t="s">
        <v>201</v>
      </c>
    </row>
    <row r="23">
      <c r="A23" s="423" t="s">
        <v>202</v>
      </c>
    </row>
    <row r="24">
      <c r="A24" s="424" t="s">
        <v>137</v>
      </c>
    </row>
    <row r="25">
      <c r="A25" s="425" t="s">
        <v>138</v>
      </c>
    </row>
    <row r="26">
      <c r="A26" s="426" t="s">
        <v>139</v>
      </c>
    </row>
    <row r="27">
      <c r="A27" s="427" t="s">
        <v>203</v>
      </c>
    </row>
    <row r="28">
      <c r="A28" s="428" t="s">
        <v>204</v>
      </c>
    </row>
    <row r="29">
      <c r="A29" s="429" t="s">
        <v>205</v>
      </c>
    </row>
    <row r="30">
      <c r="A30" s="430" t="s">
        <v>206</v>
      </c>
    </row>
    <row r="31">
      <c r="A31" s="431" t="s">
        <v>137</v>
      </c>
    </row>
    <row r="32">
      <c r="A32" s="432"/>
    </row>
  </sheetData>
</worksheet>
</file>

<file path=xl/worksheets/sheet13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207</v>
      </c>
    </row>
    <row r="2">
      <c r="A2" t="s">
        <v>8</v>
      </c>
    </row>
    <row r="3">
      <c r="A3" s="486">
        <f>+HYPERLINK("[test_results.xlsm]description!A1","Back to description page")</f>
      </c>
    </row>
    <row r="4">
      <c r="A4" t="s">
        <v>9</v>
      </c>
    </row>
    <row r="5">
      <c r="A5" s="503"/>
      <c r="B5" s="504" t="s">
        <v>153</v>
      </c>
      <c r="C5" s="505" t="s">
        <v>154</v>
      </c>
      <c r="D5" s="506" t="s">
        <v>155</v>
      </c>
      <c r="E5" s="507" t="s">
        <v>156</v>
      </c>
    </row>
    <row r="6">
      <c r="A6" s="508" t="s">
        <v>144</v>
      </c>
      <c r="B6" s="509">
        <v>-0.51059224421609006</v>
      </c>
      <c r="C6" s="510">
        <v>-0.75405704176920574</v>
      </c>
      <c r="D6" s="511">
        <v>0.89524624174192013</v>
      </c>
      <c r="E6" s="512">
        <v>-180162.19020313071</v>
      </c>
    </row>
    <row r="7">
      <c r="A7" s="513" t="s">
        <v>145</v>
      </c>
      <c r="B7" s="514">
        <v>0.46358669299811578</v>
      </c>
      <c r="C7" s="515">
        <v>0.018586115563389998</v>
      </c>
      <c r="D7" s="516">
        <v>0.018523380203320276</v>
      </c>
      <c r="E7" s="517">
        <v>116323.94971624043</v>
      </c>
    </row>
    <row r="8">
      <c r="A8" s="518" t="s">
        <v>146</v>
      </c>
      <c r="B8" s="519">
        <v>-1.1013953850011939</v>
      </c>
      <c r="C8" s="520">
        <v>-40.570986400972863</v>
      </c>
      <c r="D8" s="521">
        <v>48.330608772012852</v>
      </c>
      <c r="E8" s="522">
        <v>-1.5487970503289881</v>
      </c>
    </row>
    <row r="9">
      <c r="A9" s="523" t="s">
        <v>147</v>
      </c>
      <c r="B9" s="524">
        <v>0.27162549182171231</v>
      </c>
      <c r="C9" s="525">
        <v>1.7492910040644274e-122</v>
      </c>
      <c r="D9" s="526">
        <v>6.4597276020303542e-142</v>
      </c>
      <c r="E9" s="527">
        <v>0.12250626193750352</v>
      </c>
    </row>
    <row r="10">
      <c r="A10" s="528" t="s">
        <v>148</v>
      </c>
      <c r="B10" s="529">
        <v>-1.4229613087189334</v>
      </c>
      <c r="C10" s="530">
        <v>-0.79063573810676602</v>
      </c>
      <c r="D10" s="531">
        <v>0.85879101271401859</v>
      </c>
      <c r="E10" s="532">
        <v>-409095.36448281916</v>
      </c>
    </row>
    <row r="11">
      <c r="A11" s="533" t="s">
        <v>149</v>
      </c>
      <c r="B11" s="534">
        <v>0.40177682028675321</v>
      </c>
      <c r="C11" s="535">
        <v>-0.71747834543164546</v>
      </c>
      <c r="D11" s="536">
        <v>0.93170147076982168</v>
      </c>
      <c r="E11" s="537">
        <v>48770.984076557739</v>
      </c>
    </row>
    <row r="12">
      <c r="A12" s="538" t="s">
        <v>150</v>
      </c>
      <c r="B12" s="539">
        <v>294</v>
      </c>
      <c r="C12" s="540">
        <v>294</v>
      </c>
      <c r="D12" s="541">
        <v>294</v>
      </c>
      <c r="E12" s="542">
        <v>294</v>
      </c>
    </row>
    <row r="13">
      <c r="A13" s="543" t="s">
        <v>151</v>
      </c>
      <c r="B13" s="544">
        <v>1.9680656892939581</v>
      </c>
      <c r="C13" s="545">
        <v>1.9680656892939581</v>
      </c>
      <c r="D13" s="546">
        <v>1.9680656892939581</v>
      </c>
      <c r="E13" s="547">
        <v>1.9680656892939581</v>
      </c>
    </row>
    <row r="14">
      <c r="A14" s="548" t="s">
        <v>152</v>
      </c>
      <c r="B14" s="549">
        <v>0</v>
      </c>
      <c r="C14" s="550">
        <v>0</v>
      </c>
      <c r="D14" s="551">
        <v>0</v>
      </c>
      <c r="E14" s="552">
        <v>0</v>
      </c>
    </row>
    <row r="17">
      <c r="A17" s="487" t="s">
        <v>20</v>
      </c>
    </row>
    <row r="18">
      <c r="A18" s="488" t="s">
        <v>208</v>
      </c>
    </row>
    <row r="19">
      <c r="A19" s="489" t="s">
        <v>209</v>
      </c>
    </row>
    <row r="20">
      <c r="A20" s="490" t="s">
        <v>210</v>
      </c>
    </row>
    <row r="21">
      <c r="A21" s="491" t="s">
        <v>211</v>
      </c>
    </row>
    <row r="22">
      <c r="A22" s="492" t="s">
        <v>212</v>
      </c>
    </row>
    <row r="23">
      <c r="A23" s="493" t="s">
        <v>213</v>
      </c>
    </row>
    <row r="24">
      <c r="A24" s="494" t="s">
        <v>137</v>
      </c>
    </row>
    <row r="25">
      <c r="A25" s="495" t="s">
        <v>138</v>
      </c>
    </row>
    <row r="26">
      <c r="A26" s="496" t="s">
        <v>139</v>
      </c>
    </row>
    <row r="27">
      <c r="A27" s="497" t="s">
        <v>214</v>
      </c>
    </row>
    <row r="28">
      <c r="A28" s="498" t="s">
        <v>215</v>
      </c>
    </row>
    <row r="29">
      <c r="A29" s="499" t="s">
        <v>216</v>
      </c>
    </row>
    <row r="30">
      <c r="A30" s="500" t="s">
        <v>217</v>
      </c>
    </row>
    <row r="31">
      <c r="A31" s="501" t="s">
        <v>137</v>
      </c>
    </row>
    <row r="32">
      <c r="A32" s="502"/>
    </row>
  </sheetData>
</worksheet>
</file>

<file path=xl/worksheets/sheet14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218</v>
      </c>
    </row>
    <row r="2">
      <c r="A2" t="s">
        <v>8</v>
      </c>
    </row>
    <row r="3">
      <c r="A3" s="556">
        <f>+HYPERLINK("[test_results.xlsm]description!A1","Back to description page")</f>
      </c>
    </row>
    <row r="4">
      <c r="A4" t="s">
        <v>9</v>
      </c>
    </row>
    <row r="5">
      <c r="A5" s="573"/>
      <c r="B5" s="574" t="s">
        <v>153</v>
      </c>
      <c r="C5" s="575" t="s">
        <v>154</v>
      </c>
      <c r="D5" s="576" t="s">
        <v>155</v>
      </c>
      <c r="E5" s="577" t="s">
        <v>156</v>
      </c>
    </row>
    <row r="6">
      <c r="A6" s="578" t="s">
        <v>144</v>
      </c>
      <c r="B6" s="579">
        <v>-0.96558429237447596</v>
      </c>
      <c r="C6" s="580">
        <v>-0.99228480186511037</v>
      </c>
      <c r="D6" s="581">
        <v>0.99010928057508552</v>
      </c>
      <c r="E6" s="582">
        <v>112520.70150092989</v>
      </c>
    </row>
    <row r="7">
      <c r="A7" s="583" t="s">
        <v>145</v>
      </c>
      <c r="B7" s="584">
        <v>0.012505744871611841</v>
      </c>
      <c r="C7" s="585">
        <v>0.020127379686091657</v>
      </c>
      <c r="D7" s="586">
        <v>0.0062267985389896181</v>
      </c>
      <c r="E7" s="587">
        <v>356678.33894249151</v>
      </c>
    </row>
    <row r="8">
      <c r="A8" s="588" t="s">
        <v>146</v>
      </c>
      <c r="B8" s="589">
        <v>-77.211257888873249</v>
      </c>
      <c r="C8" s="590">
        <v>-49.300247590141858</v>
      </c>
      <c r="D8" s="591">
        <v>159.00775886283034</v>
      </c>
      <c r="E8" s="592">
        <v>0.31546827832197571</v>
      </c>
    </row>
    <row r="9">
      <c r="A9" s="593" t="s">
        <v>147</v>
      </c>
      <c r="B9" s="594">
        <v>5.9477703473591626e-234</v>
      </c>
      <c r="C9" s="595">
        <v>6.0273810831344022e-167</v>
      </c>
      <c r="D9" s="596">
        <v>0</v>
      </c>
      <c r="E9" s="597">
        <v>0.75257976625509415</v>
      </c>
    </row>
    <row r="10">
      <c r="A10" s="598" t="s">
        <v>148</v>
      </c>
      <c r="B10" s="599">
        <v>-0.99017362533894482</v>
      </c>
      <c r="C10" s="600">
        <v>-1.0318601207193328</v>
      </c>
      <c r="D10" s="601">
        <v>0.97786588170922095</v>
      </c>
      <c r="E10" s="602">
        <v>-588795.57573895494</v>
      </c>
    </row>
    <row r="11">
      <c r="A11" s="603" t="s">
        <v>149</v>
      </c>
      <c r="B11" s="604">
        <v>-0.9409949594100071</v>
      </c>
      <c r="C11" s="605">
        <v>-0.95270948301088809</v>
      </c>
      <c r="D11" s="606">
        <v>1.0023526794409501</v>
      </c>
      <c r="E11" s="607">
        <v>813836.97874081472</v>
      </c>
    </row>
    <row r="12">
      <c r="A12" s="608" t="s">
        <v>150</v>
      </c>
      <c r="B12" s="609">
        <v>379</v>
      </c>
      <c r="C12" s="610">
        <v>379</v>
      </c>
      <c r="D12" s="611">
        <v>379</v>
      </c>
      <c r="E12" s="612">
        <v>379</v>
      </c>
    </row>
    <row r="13">
      <c r="A13" s="613" t="s">
        <v>151</v>
      </c>
      <c r="B13" s="614">
        <v>1.9662429720829233</v>
      </c>
      <c r="C13" s="615">
        <v>1.9662429720829233</v>
      </c>
      <c r="D13" s="616">
        <v>1.9662429720829233</v>
      </c>
      <c r="E13" s="617">
        <v>1.9662429720829233</v>
      </c>
    </row>
    <row r="14">
      <c r="A14" s="618" t="s">
        <v>152</v>
      </c>
      <c r="B14" s="619">
        <v>0</v>
      </c>
      <c r="C14" s="620">
        <v>0</v>
      </c>
      <c r="D14" s="621">
        <v>0</v>
      </c>
      <c r="E14" s="622">
        <v>0</v>
      </c>
    </row>
    <row r="17">
      <c r="A17" s="557" t="s">
        <v>20</v>
      </c>
    </row>
    <row r="18">
      <c r="A18" s="558" t="s">
        <v>219</v>
      </c>
    </row>
    <row r="19">
      <c r="A19" s="559" t="s">
        <v>220</v>
      </c>
    </row>
    <row r="20">
      <c r="A20" s="560" t="s">
        <v>221</v>
      </c>
    </row>
    <row r="21">
      <c r="A21" s="561" t="s">
        <v>222</v>
      </c>
    </row>
    <row r="22">
      <c r="A22" s="562" t="s">
        <v>223</v>
      </c>
    </row>
    <row r="23">
      <c r="A23" s="563" t="s">
        <v>224</v>
      </c>
    </row>
    <row r="24">
      <c r="A24" s="564" t="s">
        <v>137</v>
      </c>
    </row>
    <row r="25">
      <c r="A25" s="565" t="s">
        <v>138</v>
      </c>
    </row>
    <row r="26">
      <c r="A26" s="566" t="s">
        <v>139</v>
      </c>
    </row>
    <row r="27">
      <c r="A27" s="567" t="s">
        <v>225</v>
      </c>
    </row>
    <row r="28">
      <c r="A28" s="568" t="s">
        <v>226</v>
      </c>
    </row>
    <row r="29">
      <c r="A29" s="569" t="s">
        <v>227</v>
      </c>
    </row>
    <row r="30">
      <c r="A30" s="570" t="s">
        <v>228</v>
      </c>
    </row>
    <row r="31">
      <c r="A31" s="571" t="s">
        <v>137</v>
      </c>
    </row>
    <row r="32">
      <c r="A32" s="572"/>
    </row>
  </sheetData>
</worksheet>
</file>

<file path=xl/worksheets/sheet15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229</v>
      </c>
    </row>
    <row r="2">
      <c r="A2" t="s">
        <v>8</v>
      </c>
    </row>
    <row r="3">
      <c r="A3" s="626">
        <f>+HYPERLINK("[test_results.xlsm]description!A1","Back to description page")</f>
      </c>
    </row>
    <row r="4">
      <c r="A4" t="s">
        <v>9</v>
      </c>
    </row>
    <row r="5">
      <c r="A5" s="643"/>
      <c r="B5" s="644" t="s">
        <v>153</v>
      </c>
      <c r="C5" s="645" t="s">
        <v>154</v>
      </c>
      <c r="D5" s="646" t="s">
        <v>155</v>
      </c>
      <c r="E5" s="647" t="s">
        <v>156</v>
      </c>
    </row>
    <row r="6">
      <c r="A6" s="648" t="s">
        <v>144</v>
      </c>
      <c r="B6" s="649">
        <v>0.31202252672051445</v>
      </c>
      <c r="C6" s="650">
        <v>-0.49268225731800686</v>
      </c>
      <c r="D6" s="651">
        <v>0.35189946796769633</v>
      </c>
      <c r="E6" s="652">
        <v>4463169.6125495154</v>
      </c>
    </row>
    <row r="7">
      <c r="A7" s="653" t="s">
        <v>145</v>
      </c>
      <c r="B7" s="654">
        <v>0.17538822967006423</v>
      </c>
      <c r="C7" s="655">
        <v>0.065988964716171869</v>
      </c>
      <c r="D7" s="656">
        <v>0.087366358608832989</v>
      </c>
      <c r="E7" s="657">
        <v>2481474.70597297</v>
      </c>
    </row>
    <row r="8">
      <c r="A8" s="658" t="s">
        <v>146</v>
      </c>
      <c r="B8" s="659">
        <v>1.7790391482226777</v>
      </c>
      <c r="C8" s="660">
        <v>-7.4661310332281294</v>
      </c>
      <c r="D8" s="661">
        <v>4.027860077621666</v>
      </c>
      <c r="E8" s="662">
        <v>1.7985956503229945</v>
      </c>
    </row>
    <row r="9">
      <c r="A9" s="663" t="s">
        <v>147</v>
      </c>
      <c r="B9" s="664">
        <v>0.082833496204354845</v>
      </c>
      <c r="C9" s="665">
        <v>4.2419164339846756e-009</v>
      </c>
      <c r="D9" s="666">
        <v>0.00024448498165779547</v>
      </c>
      <c r="E9" s="667">
        <v>0.07963186123424644</v>
      </c>
    </row>
    <row r="10">
      <c r="A10" s="668" t="s">
        <v>148</v>
      </c>
      <c r="B10" s="669">
        <v>-0.042450308015037241</v>
      </c>
      <c r="C10" s="670">
        <v>-0.62605092993765088</v>
      </c>
      <c r="D10" s="671">
        <v>0.1753254706427112</v>
      </c>
      <c r="E10" s="672">
        <v>-552077.84735995438</v>
      </c>
    </row>
    <row r="11">
      <c r="A11" s="673" t="s">
        <v>149</v>
      </c>
      <c r="B11" s="674">
        <v>0.66649536145606614</v>
      </c>
      <c r="C11" s="675">
        <v>-0.35931358469836278</v>
      </c>
      <c r="D11" s="676">
        <v>0.52847346529268147</v>
      </c>
      <c r="E11" s="677">
        <v>9478417.0724589862</v>
      </c>
    </row>
    <row r="12">
      <c r="A12" s="678" t="s">
        <v>150</v>
      </c>
      <c r="B12" s="679">
        <v>40</v>
      </c>
      <c r="C12" s="680">
        <v>40</v>
      </c>
      <c r="D12" s="681">
        <v>40</v>
      </c>
      <c r="E12" s="682">
        <v>40</v>
      </c>
    </row>
    <row r="13">
      <c r="A13" s="683" t="s">
        <v>151</v>
      </c>
      <c r="B13" s="684">
        <v>2.021075390306275</v>
      </c>
      <c r="C13" s="685">
        <v>2.021075390306275</v>
      </c>
      <c r="D13" s="686">
        <v>2.021075390306275</v>
      </c>
      <c r="E13" s="687">
        <v>2.021075390306275</v>
      </c>
    </row>
    <row r="14">
      <c r="A14" s="688" t="s">
        <v>152</v>
      </c>
      <c r="B14" s="689">
        <v>0</v>
      </c>
      <c r="C14" s="690">
        <v>0</v>
      </c>
      <c r="D14" s="691">
        <v>0</v>
      </c>
      <c r="E14" s="692">
        <v>0</v>
      </c>
    </row>
    <row r="17">
      <c r="A17" s="627" t="s">
        <v>20</v>
      </c>
    </row>
    <row r="18">
      <c r="A18" s="628" t="s">
        <v>230</v>
      </c>
    </row>
    <row r="19">
      <c r="A19" s="629" t="s">
        <v>231</v>
      </c>
    </row>
    <row r="20">
      <c r="A20" s="630" t="s">
        <v>232</v>
      </c>
    </row>
    <row r="21">
      <c r="A21" s="631" t="s">
        <v>233</v>
      </c>
    </row>
    <row r="22">
      <c r="A22" s="632" t="s">
        <v>234</v>
      </c>
    </row>
    <row r="23">
      <c r="A23" s="633" t="s">
        <v>235</v>
      </c>
    </row>
    <row r="24">
      <c r="A24" s="634" t="s">
        <v>137</v>
      </c>
    </row>
    <row r="25">
      <c r="A25" s="635" t="s">
        <v>138</v>
      </c>
    </row>
    <row r="26">
      <c r="A26" s="636" t="s">
        <v>139</v>
      </c>
    </row>
    <row r="27">
      <c r="A27" s="637" t="s">
        <v>236</v>
      </c>
    </row>
    <row r="28">
      <c r="A28" s="638" t="s">
        <v>237</v>
      </c>
    </row>
    <row r="29">
      <c r="A29" s="639" t="s">
        <v>238</v>
      </c>
    </row>
    <row r="30">
      <c r="A30" s="640" t="s">
        <v>239</v>
      </c>
    </row>
    <row r="31">
      <c r="A31" s="641" t="s">
        <v>137</v>
      </c>
    </row>
    <row r="32">
      <c r="A32" s="642"/>
    </row>
  </sheetData>
</worksheet>
</file>

<file path=xl/worksheets/sheet16.xml><?xml version="1.0" encoding="utf-8"?>
<worksheet xmlns="http://schemas.openxmlformats.org/spreadsheetml/2006/main" xmlns:r="http://schemas.openxmlformats.org/officeDocument/2006/relationships">
  <dimension ref="A1:A4"/>
  <sheetFormatPr defaultRowHeight="15"/>
  <sheetData>
    <row r="1">
      <c r="A1" t="s">
        <v>130</v>
      </c>
    </row>
    <row r="2">
      <c r="A2" t="s">
        <v>99</v>
      </c>
    </row>
    <row r="3">
      <c r="A3" s="716">
        <f>+HYPERLINK("[test_results.xlsm]description!A1","Back to description page")</f>
      </c>
    </row>
    <row r="4">
      <c r="A4" t="s">
        <v>100</v>
      </c>
    </row>
  </sheetData>
</worksheet>
</file>

<file path=xl/worksheets/sheet17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251</v>
      </c>
    </row>
    <row r="2">
      <c r="A2" t="s">
        <v>8</v>
      </c>
    </row>
    <row r="3">
      <c r="A3" s="720">
        <f>+HYPERLINK("[test_results.xlsm]description!A1","Back to description page")</f>
      </c>
    </row>
    <row r="4">
      <c r="A4" t="s">
        <v>9</v>
      </c>
    </row>
    <row r="5">
      <c r="A5" s="737"/>
      <c r="B5" s="738" t="s">
        <v>153</v>
      </c>
      <c r="C5" s="739" t="s">
        <v>154</v>
      </c>
      <c r="D5" s="740" t="s">
        <v>155</v>
      </c>
      <c r="E5" s="741" t="s">
        <v>156</v>
      </c>
    </row>
    <row r="6">
      <c r="A6" s="742" t="s">
        <v>144</v>
      </c>
      <c r="B6" s="743">
        <v>-0.51522889858246035</v>
      </c>
      <c r="C6" s="744">
        <v>-0.74995538915326698</v>
      </c>
      <c r="D6" s="745">
        <v>0.88465482674686402</v>
      </c>
      <c r="E6" s="746">
        <v>-175110.04975152574</v>
      </c>
    </row>
    <row r="7">
      <c r="A7" s="747" t="s">
        <v>145</v>
      </c>
      <c r="B7" s="748">
        <v>0.74264355772481438</v>
      </c>
      <c r="C7" s="749">
        <v>0.028559473451900165</v>
      </c>
      <c r="D7" s="750">
        <v>0.028497280961322403</v>
      </c>
      <c r="E7" s="751">
        <v>182717.88507330682</v>
      </c>
    </row>
    <row r="8">
      <c r="A8" s="752" t="s">
        <v>146</v>
      </c>
      <c r="B8" s="753">
        <v>-0.69377683711541438</v>
      </c>
      <c r="C8" s="754">
        <v>-26.259426330682921</v>
      </c>
      <c r="D8" s="755">
        <v>31.043481935962639</v>
      </c>
      <c r="E8" s="756">
        <v>-0.95836294121547649</v>
      </c>
    </row>
    <row r="9">
      <c r="A9" s="757" t="s">
        <v>147</v>
      </c>
      <c r="B9" s="758">
        <v>0.48924589504667682</v>
      </c>
      <c r="C9" s="759">
        <v>6.350474451735619e-050</v>
      </c>
      <c r="D9" s="760">
        <v>3.8344789789126297e-057</v>
      </c>
      <c r="E9" s="761">
        <v>0.33992578679793661</v>
      </c>
    </row>
    <row r="10">
      <c r="A10" s="762" t="s">
        <v>148</v>
      </c>
      <c r="B10" s="763">
        <v>-1.9865397291926903</v>
      </c>
      <c r="C10" s="764">
        <v>-0.80653685703139599</v>
      </c>
      <c r="D10" s="765">
        <v>0.82819657340957076</v>
      </c>
      <c r="E10" s="766">
        <v>-537107.13497254637</v>
      </c>
    </row>
    <row r="11">
      <c r="A11" s="767" t="s">
        <v>149</v>
      </c>
      <c r="B11" s="768">
        <v>0.95608193202776948</v>
      </c>
      <c r="C11" s="769">
        <v>-0.69337392127513797</v>
      </c>
      <c r="D11" s="770">
        <v>0.94111308008415728</v>
      </c>
      <c r="E11" s="771">
        <v>186887.03546949488</v>
      </c>
    </row>
    <row r="12">
      <c r="A12" s="772" t="s">
        <v>150</v>
      </c>
      <c r="B12" s="773">
        <v>113</v>
      </c>
      <c r="C12" s="774">
        <v>113</v>
      </c>
      <c r="D12" s="775">
        <v>113</v>
      </c>
      <c r="E12" s="776">
        <v>113</v>
      </c>
    </row>
    <row r="13">
      <c r="A13" s="777" t="s">
        <v>151</v>
      </c>
      <c r="B13" s="778">
        <v>1.9811803594146604</v>
      </c>
      <c r="C13" s="779">
        <v>1.9811803594146604</v>
      </c>
      <c r="D13" s="780">
        <v>1.9811803594146604</v>
      </c>
      <c r="E13" s="781">
        <v>1.9811803594146604</v>
      </c>
    </row>
    <row r="14">
      <c r="A14" s="782" t="s">
        <v>152</v>
      </c>
      <c r="B14" s="783">
        <v>0</v>
      </c>
      <c r="C14" s="784">
        <v>0</v>
      </c>
      <c r="D14" s="785">
        <v>0</v>
      </c>
      <c r="E14" s="786">
        <v>0</v>
      </c>
    </row>
    <row r="17">
      <c r="A17" s="721" t="s">
        <v>20</v>
      </c>
    </row>
    <row r="18">
      <c r="A18" s="722" t="s">
        <v>252</v>
      </c>
    </row>
    <row r="19">
      <c r="A19" s="723" t="s">
        <v>253</v>
      </c>
    </row>
    <row r="20">
      <c r="A20" s="724" t="s">
        <v>254</v>
      </c>
    </row>
    <row r="21">
      <c r="A21" s="725" t="s">
        <v>255</v>
      </c>
    </row>
    <row r="22">
      <c r="A22" s="726" t="s">
        <v>256</v>
      </c>
    </row>
    <row r="23">
      <c r="A23" s="727" t="s">
        <v>257</v>
      </c>
    </row>
    <row r="24">
      <c r="A24" s="728" t="s">
        <v>137</v>
      </c>
    </row>
    <row r="25">
      <c r="A25" s="729" t="s">
        <v>138</v>
      </c>
    </row>
    <row r="26">
      <c r="A26" s="730" t="s">
        <v>139</v>
      </c>
    </row>
    <row r="27">
      <c r="A27" s="731" t="s">
        <v>258</v>
      </c>
    </row>
    <row r="28">
      <c r="A28" s="732" t="s">
        <v>259</v>
      </c>
    </row>
    <row r="29">
      <c r="A29" s="733" t="s">
        <v>260</v>
      </c>
    </row>
    <row r="30">
      <c r="A30" s="734" t="s">
        <v>261</v>
      </c>
    </row>
    <row r="31">
      <c r="A31" s="735" t="s">
        <v>137</v>
      </c>
    </row>
    <row r="32">
      <c r="A32" s="736"/>
    </row>
  </sheetData>
</worksheet>
</file>

<file path=xl/worksheets/sheet18.xml><?xml version="1.0" encoding="utf-8"?>
<worksheet xmlns="http://schemas.openxmlformats.org/spreadsheetml/2006/main" xmlns:r="http://schemas.openxmlformats.org/officeDocument/2006/relationships">
  <dimension ref="A1:E32"/>
  <sheetFormatPr defaultRowHeight="15"/>
  <sheetData>
    <row r="1">
      <c r="A1" t="s">
        <v>262</v>
      </c>
    </row>
    <row r="2">
      <c r="A2" t="s">
        <v>8</v>
      </c>
    </row>
    <row r="3">
      <c r="A3" s="790">
        <f>+HYPERLINK("[test_results.xlsm]description!A1","Back to description page")</f>
      </c>
    </row>
    <row r="4">
      <c r="A4" t="s">
        <v>9</v>
      </c>
    </row>
    <row r="5">
      <c r="A5" s="807"/>
      <c r="B5" s="808" t="s">
        <v>153</v>
      </c>
      <c r="C5" s="809" t="s">
        <v>154</v>
      </c>
      <c r="D5" s="810" t="s">
        <v>155</v>
      </c>
      <c r="E5" s="811" t="s">
        <v>156</v>
      </c>
    </row>
    <row r="6">
      <c r="A6" s="812" t="s">
        <v>144</v>
      </c>
      <c r="B6" s="813">
        <v>-0.96224279713215977</v>
      </c>
      <c r="C6" s="814">
        <v>-1.0295981723270136</v>
      </c>
      <c r="D6" s="815">
        <v>0.99986551250816791</v>
      </c>
      <c r="E6" s="816">
        <v>-14132.199306897819</v>
      </c>
    </row>
    <row r="7">
      <c r="A7" s="817" t="s">
        <v>145</v>
      </c>
      <c r="B7" s="818">
        <v>0.012151837218141453</v>
      </c>
      <c r="C7" s="819">
        <v>0.021011789041462291</v>
      </c>
      <c r="D7" s="820">
        <v>0.0062161395447140376</v>
      </c>
      <c r="E7" s="821">
        <v>401489.74293459661</v>
      </c>
    </row>
    <row r="8">
      <c r="A8" s="822" t="s">
        <v>146</v>
      </c>
      <c r="B8" s="823">
        <v>-79.184964368649489</v>
      </c>
      <c r="C8" s="824">
        <v>-49.000976085154903</v>
      </c>
      <c r="D8" s="825">
        <v>160.84991421378476</v>
      </c>
      <c r="E8" s="826">
        <v>-0.035199403112024158</v>
      </c>
    </row>
    <row r="9">
      <c r="A9" s="827" t="s">
        <v>147</v>
      </c>
      <c r="B9" s="828">
        <v>1.6930099477688587e-101</v>
      </c>
      <c r="C9" s="829">
        <v>1.969698711944928e-078</v>
      </c>
      <c r="D9" s="830">
        <v>2.9939204419631412e-136</v>
      </c>
      <c r="E9" s="831">
        <v>0.97198229798010305</v>
      </c>
    </row>
    <row r="10">
      <c r="A10" s="832" t="s">
        <v>148</v>
      </c>
      <c r="B10" s="833">
        <v>-0.98631549306755439</v>
      </c>
      <c r="C10" s="834">
        <v>-1.071222364584844</v>
      </c>
      <c r="D10" s="835">
        <v>0.98755138794694619</v>
      </c>
      <c r="E10" s="836">
        <v>-809480.28777664108</v>
      </c>
    </row>
    <row r="11">
      <c r="A11" s="837" t="s">
        <v>149</v>
      </c>
      <c r="B11" s="838">
        <v>-0.93817010119676514</v>
      </c>
      <c r="C11" s="839">
        <v>-0.98797398006918324</v>
      </c>
      <c r="D11" s="840">
        <v>1.0121796370693896</v>
      </c>
      <c r="E11" s="841">
        <v>781215.88916284544</v>
      </c>
    </row>
    <row r="12">
      <c r="A12" s="842" t="s">
        <v>150</v>
      </c>
      <c r="B12" s="843">
        <v>114</v>
      </c>
      <c r="C12" s="844">
        <v>114</v>
      </c>
      <c r="D12" s="845">
        <v>114</v>
      </c>
      <c r="E12" s="846">
        <v>114</v>
      </c>
    </row>
    <row r="13">
      <c r="A13" s="847" t="s">
        <v>151</v>
      </c>
      <c r="B13" s="848">
        <v>1.9809922979758585</v>
      </c>
      <c r="C13" s="849">
        <v>1.9809922979758585</v>
      </c>
      <c r="D13" s="850">
        <v>1.9809922979758585</v>
      </c>
      <c r="E13" s="851">
        <v>1.9809922979758585</v>
      </c>
    </row>
    <row r="14">
      <c r="A14" s="852" t="s">
        <v>152</v>
      </c>
      <c r="B14" s="853">
        <v>0</v>
      </c>
      <c r="C14" s="854">
        <v>0</v>
      </c>
      <c r="D14" s="855">
        <v>0</v>
      </c>
      <c r="E14" s="856">
        <v>0</v>
      </c>
    </row>
    <row r="17">
      <c r="A17" s="791" t="s">
        <v>20</v>
      </c>
    </row>
    <row r="18">
      <c r="A18" s="792" t="s">
        <v>263</v>
      </c>
    </row>
    <row r="19">
      <c r="A19" s="793" t="s">
        <v>264</v>
      </c>
    </row>
    <row r="20">
      <c r="A20" s="794" t="s">
        <v>265</v>
      </c>
    </row>
    <row r="21">
      <c r="A21" s="795" t="s">
        <v>266</v>
      </c>
    </row>
    <row r="22">
      <c r="A22" s="796" t="s">
        <v>267</v>
      </c>
    </row>
    <row r="23">
      <c r="A23" s="797" t="s">
        <v>268</v>
      </c>
    </row>
    <row r="24">
      <c r="A24" s="798" t="s">
        <v>137</v>
      </c>
    </row>
    <row r="25">
      <c r="A25" s="799" t="s">
        <v>138</v>
      </c>
    </row>
    <row r="26">
      <c r="A26" s="800" t="s">
        <v>139</v>
      </c>
    </row>
    <row r="27">
      <c r="A27" s="801" t="s">
        <v>269</v>
      </c>
    </row>
    <row r="28">
      <c r="A28" s="802" t="s">
        <v>270</v>
      </c>
    </row>
    <row r="29">
      <c r="A29" s="803" t="s">
        <v>271</v>
      </c>
    </row>
    <row r="30">
      <c r="A30" s="804" t="s">
        <v>272</v>
      </c>
    </row>
    <row r="31">
      <c r="A31" s="805" t="s">
        <v>137</v>
      </c>
    </row>
    <row r="32">
      <c r="A32" s="806"/>
    </row>
  </sheetData>
</worksheet>
</file>

<file path=xl/worksheets/sheet19.xml><?xml version="1.0" encoding="utf-8"?>
<worksheet xmlns="http://schemas.openxmlformats.org/spreadsheetml/2006/main" xmlns:r="http://schemas.openxmlformats.org/officeDocument/2006/relationships">
  <dimension ref="A1:A4"/>
  <sheetFormatPr defaultRowHeight="15"/>
  <sheetData>
    <row r="1">
      <c r="A1" t="s">
        <v>130</v>
      </c>
    </row>
    <row r="2">
      <c r="A2" t="s">
        <v>99</v>
      </c>
    </row>
    <row r="3">
      <c r="A3" s="880">
        <f>+HYPERLINK("[test_results.xlsm]description!A1","Back to description page")</f>
      </c>
    </row>
    <row r="4">
      <c r="A4" t="s">
        <v>100</v>
      </c>
    </row>
  </sheetData>
</worksheet>
</file>

<file path=xl/worksheets/sheet20.xml><?xml version="1.0" encoding="utf-8"?>
<worksheet xmlns="http://schemas.openxmlformats.org/spreadsheetml/2006/main" xmlns:r="http://schemas.openxmlformats.org/officeDocument/2006/relationships">
  <dimension ref="A1:A4"/>
  <sheetFormatPr defaultRowHeight="15"/>
  <sheetData>
    <row r="1">
      <c r="A1" t="s">
        <v>284</v>
      </c>
    </row>
    <row r="2">
      <c r="A2" t="s">
        <v>285</v>
      </c>
    </row>
    <row r="3">
      <c r="A3" s="884">
        <f>+HYPERLINK("[test_results.xlsm]description!A1","Back to description page")</f>
      </c>
    </row>
    <row r="4">
      <c r="A4" t="s">
        <v>9</v>
      </c>
    </row>
  </sheetData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4"/>
  <sheetFormatPr defaultRowHeight="15"/>
  <sheetData>
    <row r="1">
      <c r="A1" t="s">
        <v>286</v>
      </c>
    </row>
    <row r="2">
      <c r="A2" t="s">
        <v>285</v>
      </c>
    </row>
    <row r="3">
      <c r="A3" s="888">
        <f>+HYPERLINK("[test_results.xlsm]description!A1","Back to description page")</f>
      </c>
    </row>
    <row r="4">
      <c r="A4" t="s">
        <v>9</v>
      </c>
    </row>
  </sheetData>
  <drawing r:id="rId1"/>
</worksheet>
</file>

<file path=customXml/_rels/item1.xml.rels><?xml version="1.0" encoding="UTF-8"?><Relationships xmlns="http://schemas.openxmlformats.org/package/2006/relationships"><Relationship Target="itemProps1.xml" Type="http://schemas.openxmlformats.org/officeDocument/2006/relationships/customXmlProps" Id="rId1"/></Relationships>
</file>

<file path=customXml/_rels/item2.xml.rels><?xml version="1.0" encoding="UTF-8"?><Relationships xmlns="http://schemas.openxmlformats.org/package/2006/relationships"><Relationship Target="itemProps2.xml" Type="http://schemas.openxmlformats.org/officeDocument/2006/relationships/customXmlProps" Id="rId1"/></Relationships>
</file>

<file path=customXml/_rels/item3.xml.rels><?xml version="1.0" encoding="UTF-8"?><Relationships xmlns="http://schemas.openxmlformats.org/package/2006/relationships"><Relationship Target="itemProps3.xml" Type="http://schemas.openxmlformats.org/officeDocument/2006/relationships/customXmlProps" Id="rId1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9B4DE4498A044897736DAD80F9FF5A" ma:contentTypeVersion="12" ma:contentTypeDescription="Create a new document." ma:contentTypeScope="" ma:versionID="162dcfa44fe05228df79f87718be27cb">
  <xsd:schema xmlns:xsd="http://www.w3.org/2001/XMLSchema" xmlns:xs="http://www.w3.org/2001/XMLSchema" xmlns:p="http://schemas.microsoft.com/office/2006/metadata/properties" xmlns:ns3="77145ffc-4c58-47e7-8ac3-3528dba46c5e" xmlns:ns4="806aeec0-4648-4bd5-b80c-5acf0bd9e980" targetNamespace="http://schemas.microsoft.com/office/2006/metadata/properties" ma:root="true" ma:fieldsID="c0a7082957c9ff04573ee4ec0edadbb5" ns3:_="" ns4:_="">
    <xsd:import namespace="77145ffc-4c58-47e7-8ac3-3528dba46c5e"/>
    <xsd:import namespace="806aeec0-4648-4bd5-b80c-5acf0bd9e98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45ffc-4c58-47e7-8ac3-3528dba46c5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aeec0-4648-4bd5-b80c-5acf0bd9e9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FF1BB4-7DDA-4BA4-8CCF-4649313DDE50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806aeec0-4648-4bd5-b80c-5acf0bd9e980"/>
    <ds:schemaRef ds:uri="77145ffc-4c58-47e7-8ac3-3528dba46c5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033A41B-5CE7-4574-947D-68F4741075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36D002-13F7-4E90-A370-D2420375AC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45ffc-4c58-47e7-8ac3-3528dba46c5e"/>
    <ds:schemaRef ds:uri="806aeec0-4648-4bd5-b80c-5acf0bd9e9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description</vt:lpstr>
    </vt:vector>
  </TitlesOfParts>
  <Manager/>
  <Company>University of the West of England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 Ritchie</dc:creator>
  <cp:keywords/>
  <dc:description/>
  <cp:lastModifiedBy>Felix Ritchie</cp:lastModifiedBy>
  <cp:revision/>
  <dcterms:created xsi:type="dcterms:W3CDTF">2020-04-22T16:29:26Z</dcterms:created>
  <dcterms:modified xsi:type="dcterms:W3CDTF">2020-09-24T14:20:06Z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0x0101003E9B4DE4498A044897736DAD80F9FF5A</vt:lpwstr>
  </property>
</Properties>
</file>